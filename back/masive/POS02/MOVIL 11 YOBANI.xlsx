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SEMANAL" sheetId="2" r:id="rId6"/>
  </sheets>
  <definedNames/>
  <calcPr/>
</workbook>
</file>

<file path=xl/sharedStrings.xml><?xml version="1.0" encoding="utf-8"?>
<sst xmlns="http://schemas.openxmlformats.org/spreadsheetml/2006/main" count="192" uniqueCount="59">
  <si>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</si>
  <si>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</si>
  <si>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</si>
  <si>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</si>
  <si>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</si>
  <si>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</si>
  <si>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</si>
  <si>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</si>
  <si>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</si>
  <si>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BOXER</t>
  </si>
  <si>
    <t>BAJA</t>
  </si>
  <si>
    <t>RMF-89H</t>
  </si>
  <si>
    <t>11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</si>
  <si>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</si>
  <si>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</si>
  <si>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</si>
  <si>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</si>
  <si>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</si>
  <si>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</si>
  <si>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</si>
  <si>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</si>
  <si>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</si>
  <si>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</si>
  <si>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</si>
  <si>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</si>
  <si>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</si>
  <si>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</si>
  <si>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</si>
  <si>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 xml:space="preserve">DEUDA DE SEMANA </t>
  </si>
  <si>
    <t>YOBANI ANDRES GARZON MARTINEZ</t>
  </si>
  <si>
    <t>COLOMBIANO</t>
  </si>
  <si>
    <t>3147591450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</si>
  <si>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</si>
  <si>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</si>
  <si>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</si>
  <si>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</si>
  <si>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</si>
  <si>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</si>
  <si>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</si>
  <si>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</si>
  <si>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M05284498</t>
  </si>
  <si>
    <t>SOLO PAGOS POR BANCOLOMBIA</t>
  </si>
  <si>
    <t>FECHA DEL PRESTAMOS</t>
  </si>
  <si>
    <t xml:space="preserve">COSTO DEL VEICULO </t>
  </si>
  <si>
    <t>MOVIL 11</t>
  </si>
  <si>
    <t xml:space="preserve">INICIAL DEL VEICULO </t>
  </si>
  <si>
    <t>PRESTAMO</t>
  </si>
  <si>
    <t>TASA DE INTERES ( 1,7)</t>
  </si>
  <si>
    <t>COSTO NETO DE LA MOTO</t>
  </si>
  <si>
    <t>PRESTAMO.</t>
  </si>
  <si>
    <t>MENSUALIDA GPS</t>
  </si>
  <si>
    <t xml:space="preserve">TOTAL APAGAR GPS </t>
  </si>
  <si>
    <t xml:space="preserve">MESES A PAGAR </t>
  </si>
  <si>
    <t xml:space="preserve">COSTO NETO DE LA MOTO CON LOS TRAMITES Y SERVICIO </t>
  </si>
  <si>
    <t>SALDO PAGADO</t>
  </si>
  <si>
    <t xml:space="preserve">SALDO PENDIENTE </t>
  </si>
  <si>
    <t>DEUDA ADQUIRIDA</t>
  </si>
  <si>
    <t>MESES ADQUIRIDO</t>
  </si>
  <si>
    <t>MESES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</si>
</sst>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"/>
    <numFmt numFmtId="165" formatCode="[$$]#,##0.00"/>
    <numFmt numFmtId="166" formatCode="dd/mm/yyyy"/>
    <numFmt numFmtId="167" formatCode="&quot;$&quot;#,##0.00"/>
    <numFmt numFmtId="168" formatCode="&quot;$&quot;#,##0"/>
    <numFmt numFmtId="169" formatCode="[$$]#,##0"/>
  </numFmts>
  <fonts count="40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sz val="12.0"/>
      <color theme="1"/>
      <name val="Nunito"/>
    </font>
    <font>
      <b/>
      <sz val="12.0"/>
      <color rgb="FF000000"/>
      <name val="Nunito"/>
    </font>
    <font>
      <b/>
      <sz val="12.0"/>
      <color rgb="FF000000"/>
      <name val="Arial"/>
    </font>
    <font>
      <b/>
      <sz val="11.0"/>
      <color rgb="FFFFFFFF"/>
      <name val="Arial"/>
    </font>
    <font>
      <sz val="12.0"/>
      <color theme="1"/>
      <name val="Arial"/>
    </font>
    <font>
      <b/>
      <sz val="11.0"/>
      <color rgb="FF0077D9"/>
      <name val="Arial"/>
    </font>
    <font>
      <b/>
      <sz val="11.0"/>
      <color theme="1"/>
      <name val="Arial"/>
    </font>
    <font/>
    <font>
      <b/>
      <sz val="12.0"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>
      <b/>
      <sz val="18.0"/>
      <color rgb="FFFFFFFF"/>
      <name val="Arial"/>
    </font>
    <font>
      <sz val="18.0"/>
      <color rgb="FFFFFFFF"/>
      <name val="Arial"/>
    </font>
    <font>
      <b/>
      <sz val="25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  <font>
      <b/>
      <sz val="36.0"/>
      <color rgb="FFFFFFFF"/>
      <name val="Rockwell"/>
    </font>
    <font>
      <sz val="14.0"/>
      <color rgb="FFFFFFFF"/>
      <name val="Rockwell"/>
    </font>
    <font>
      <sz val="30.0"/>
      <color rgb="FFFFFFFF"/>
      <name val="Rockwell"/>
    </font>
    <font>
      <sz val="13.0"/>
      <color theme="1"/>
      <name val="Lucida Sans"/>
    </font>
    <font>
      <b/>
      <sz val="13.0"/>
      <color theme="1"/>
      <name val="Nunito"/>
    </font>
    <font>
      <b/>
      <sz val="42.0"/>
      <color rgb="FF404040"/>
      <name val="Lucida Sans"/>
    </font>
    <font>
      <b/>
      <sz val="13.0"/>
      <color theme="1"/>
      <name val="Lucida Sans"/>
    </font>
    <font>
      <b/>
      <sz val="13.0"/>
      <color rgb="FF0077D9"/>
      <name val="Arial"/>
    </font>
    <font>
      <sz val="25.0"/>
      <color rgb="FFFFFFFF"/>
      <name val="Arial"/>
    </font>
    <font>
      <b/>
      <sz val="13.0"/>
      <color rgb="FF404040"/>
      <name val="Lucida Sans"/>
    </font>
    <font>
      <sz val="70.0"/>
      <color theme="1"/>
      <name val="Arial"/>
    </font>
    <font>
      <b/>
      <sz val="12.0"/>
      <color theme="1"/>
      <name val="Lucida Sans"/>
    </font>
    <font>
      <b/>
      <sz val="16.0"/>
      <color theme="1"/>
      <name val="Lucida Sans"/>
    </font>
    <font>
      <b/>
      <sz val="12.0"/>
      <color rgb="FFFFFFFF"/>
      <name val="Arial"/>
    </font>
    <font>
      <sz val="15.0"/>
      <color theme="1"/>
      <name val="Arial"/>
    </font>
    <font>
      <sz val="15.0"/>
      <color rgb="FFFFFFFF"/>
      <name val="Arial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FAF9F9"/>
        <bgColor rgb="FFFAF9F9"/>
      </patternFill>
    </fill>
    <fill>
      <patternFill patternType="solid">
        <fgColor rgb="FF005677"/>
        <bgColor rgb="FF005677"/>
      </patternFill>
    </fill>
    <fill>
      <patternFill patternType="solid">
        <fgColor rgb="FFC8F0FF"/>
        <bgColor rgb="FFC8F0FF"/>
      </patternFill>
    </fill>
    <fill>
      <patternFill patternType="solid">
        <fgColor rgb="FF91E0FF"/>
        <bgColor rgb="FF91E0FF"/>
      </patternFill>
    </fill>
    <fill>
      <patternFill patternType="solid">
        <fgColor rgb="FF3C78D8"/>
        <bgColor rgb="FF3C78D8"/>
      </patternFill>
    </fill>
  </fills>
  <borders count="2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medium">
        <color rgb="FFFF6D01"/>
      </left>
      <top style="medium">
        <color rgb="FFFF6D01"/>
      </top>
    </border>
    <border>
      <top style="medium">
        <color rgb="FFFF6D01"/>
      </top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0" fillId="3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5" fontId="4" numFmtId="0" xfId="0" applyAlignment="1" applyFill="1" applyFont="1">
      <alignment horizontal="center" shrinkToFit="0" vertical="bottom" wrapText="1"/>
    </xf>
    <xf borderId="0" fillId="5" fontId="4" numFmtId="0" xfId="0" applyAlignment="1" applyFont="1">
      <alignment horizontal="center" vertical="bottom"/>
    </xf>
    <xf borderId="1" fillId="3" fontId="5" numFmtId="165" xfId="0" applyAlignment="1" applyBorder="1" applyFont="1" applyNumberFormat="1">
      <alignment horizontal="center" vertical="bottom"/>
    </xf>
    <xf borderId="1" fillId="3" fontId="5" numFmtId="164" xfId="0" applyAlignment="1" applyBorder="1" applyFont="1" applyNumberFormat="1">
      <alignment horizontal="center" readingOrder="0" vertical="bottom"/>
    </xf>
    <xf borderId="1" fillId="3" fontId="5" numFmtId="4" xfId="0" applyAlignment="1" applyBorder="1" applyFont="1" applyNumberFormat="1">
      <alignment horizontal="center" vertical="bottom"/>
    </xf>
    <xf borderId="1" fillId="3" fontId="5" numFmtId="1" xfId="0" applyAlignment="1" applyBorder="1" applyFont="1" applyNumberFormat="1">
      <alignment horizontal="center" readingOrder="0" vertical="bottom"/>
    </xf>
    <xf borderId="2" fillId="3" fontId="6" numFmtId="165" xfId="0" applyAlignment="1" applyBorder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2" fillId="6" fontId="6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/>
    </xf>
    <xf borderId="0" fillId="8" fontId="9" numFmtId="0" xfId="0" applyAlignment="1" applyFill="1" applyFont="1">
      <alignment horizontal="center"/>
    </xf>
    <xf borderId="0" fillId="9" fontId="10" numFmtId="0" xfId="0" applyAlignment="1" applyFill="1" applyFont="1">
      <alignment horizontal="center" shrinkToFit="0" wrapText="1"/>
    </xf>
    <xf borderId="3" fillId="3" fontId="11" numFmtId="0" xfId="0" applyAlignment="1" applyBorder="1" applyFont="1">
      <alignment horizontal="center" readingOrder="0"/>
    </xf>
    <xf borderId="4" fillId="0" fontId="12" numFmtId="0" xfId="0" applyBorder="1" applyFont="1"/>
    <xf borderId="2" fillId="3" fontId="11" numFmtId="3" xfId="0" applyAlignment="1" applyBorder="1" applyFont="1" applyNumberFormat="1">
      <alignment horizontal="center" readingOrder="0"/>
    </xf>
    <xf borderId="0" fillId="3" fontId="13" numFmtId="0" xfId="0" applyAlignment="1" applyFont="1">
      <alignment horizontal="center" vertical="center"/>
    </xf>
    <xf borderId="0" fillId="3" fontId="13" numFmtId="49" xfId="0" applyAlignment="1" applyFont="1" applyNumberFormat="1">
      <alignment horizontal="center" readingOrder="0" vertical="bottom"/>
    </xf>
    <xf borderId="0" fillId="3" fontId="2" numFmtId="164" xfId="0" applyAlignment="1" applyFont="1" applyNumberFormat="1">
      <alignment horizontal="center" readingOrder="0" vertical="bottom"/>
    </xf>
    <xf borderId="0" fillId="10" fontId="8" numFmtId="164" xfId="0" applyAlignment="1" applyFill="1" applyFont="1" applyNumberFormat="1">
      <alignment horizontal="center" vertical="bottom"/>
    </xf>
    <xf borderId="0" fillId="11" fontId="2" numFmtId="164" xfId="0" applyAlignment="1" applyFill="1" applyFont="1" applyNumberFormat="1">
      <alignment vertical="bottom"/>
    </xf>
    <xf borderId="0" fillId="12" fontId="2" numFmtId="0" xfId="0" applyAlignment="1" applyFill="1" applyFont="1">
      <alignment vertical="bottom"/>
    </xf>
    <xf borderId="5" fillId="12" fontId="2" numFmtId="0" xfId="0" applyAlignment="1" applyBorder="1" applyFont="1">
      <alignment vertical="bottom"/>
    </xf>
    <xf borderId="5" fillId="12" fontId="2" numFmtId="164" xfId="0" applyAlignment="1" applyBorder="1" applyFont="1" applyNumberFormat="1">
      <alignment vertical="bottom"/>
    </xf>
    <xf borderId="0" fillId="10" fontId="2" numFmtId="164" xfId="0" applyAlignment="1" applyFont="1" applyNumberFormat="1">
      <alignment vertical="bottom"/>
    </xf>
    <xf borderId="6" fillId="12" fontId="14" numFmtId="0" xfId="0" applyAlignment="1" applyBorder="1" applyFont="1">
      <alignment horizontal="center" vertical="bottom"/>
    </xf>
    <xf borderId="0" fillId="5" fontId="15" numFmtId="0" xfId="0" applyAlignment="1" applyFont="1">
      <alignment horizontal="center" vertical="bottom"/>
    </xf>
    <xf borderId="0" fillId="5" fontId="16" numFmtId="0" xfId="0" applyAlignment="1" applyFont="1">
      <alignment horizontal="center" vertical="bottom"/>
    </xf>
    <xf borderId="7" fillId="0" fontId="12" numFmtId="0" xfId="0" applyBorder="1" applyFont="1"/>
    <xf borderId="0" fillId="12" fontId="14" numFmtId="3" xfId="0" applyAlignment="1" applyFont="1" applyNumberFormat="1">
      <alignment horizontal="center" vertical="bottom"/>
    </xf>
    <xf borderId="0" fillId="11" fontId="17" numFmtId="164" xfId="0" applyAlignment="1" applyFont="1" applyNumberFormat="1">
      <alignment horizontal="center" vertical="bottom"/>
    </xf>
    <xf borderId="0" fillId="11" fontId="18" numFmtId="164" xfId="0" applyAlignment="1" applyFont="1" applyNumberFormat="1">
      <alignment horizontal="center" vertical="bottom"/>
    </xf>
    <xf borderId="7" fillId="12" fontId="19" numFmtId="0" xfId="0" applyAlignment="1" applyBorder="1" applyFont="1">
      <alignment horizontal="center" vertical="bottom"/>
    </xf>
    <xf borderId="8" fillId="0" fontId="12" numFmtId="0" xfId="0" applyBorder="1" applyFont="1"/>
    <xf borderId="0" fillId="13" fontId="15" numFmtId="0" xfId="0" applyAlignment="1" applyFill="1" applyFont="1">
      <alignment vertical="bottom"/>
    </xf>
    <xf borderId="9" fillId="13" fontId="2" numFmtId="0" xfId="0" applyAlignment="1" applyBorder="1" applyFont="1">
      <alignment vertical="bottom"/>
    </xf>
    <xf borderId="10" fillId="13" fontId="2" numFmtId="0" xfId="0" applyAlignment="1" applyBorder="1" applyFont="1">
      <alignment vertical="bottom"/>
    </xf>
    <xf borderId="0" fillId="13" fontId="2" numFmtId="0" xfId="0" applyAlignment="1" applyFont="1">
      <alignment vertical="bottom"/>
    </xf>
    <xf borderId="0" fillId="14" fontId="15" numFmtId="0" xfId="0" applyAlignment="1" applyFill="1" applyFont="1">
      <alignment horizontal="center" vertical="bottom"/>
    </xf>
    <xf borderId="0" fillId="14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15" fontId="2" numFmtId="166" xfId="0" applyAlignment="1" applyFill="1" applyFont="1" applyNumberFormat="1">
      <alignment horizontal="center" vertical="center"/>
    </xf>
    <xf borderId="0" fillId="16" fontId="2" numFmtId="4" xfId="0" applyAlignment="1" applyFill="1" applyFont="1" applyNumberFormat="1">
      <alignment horizontal="center" vertical="center"/>
    </xf>
    <xf borderId="0" fillId="15" fontId="2" numFmtId="166" xfId="0" applyAlignment="1" applyFont="1" applyNumberFormat="1">
      <alignment horizontal="center" readingOrder="0" vertical="center"/>
    </xf>
    <xf borderId="0" fillId="0" fontId="2" numFmtId="167" xfId="0" applyAlignment="1" applyFont="1" applyNumberFormat="1">
      <alignment horizontal="center" vertical="center"/>
    </xf>
    <xf borderId="0" fillId="12" fontId="20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16" fontId="2" numFmtId="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4" fontId="21" numFmtId="164" xfId="0" applyAlignment="1" applyFont="1" applyNumberFormat="1">
      <alignment horizontal="center" vertical="center"/>
    </xf>
    <xf borderId="0" fillId="4" fontId="21" numFmtId="0" xfId="0" applyAlignment="1" applyFont="1">
      <alignment horizontal="center" vertical="center"/>
    </xf>
    <xf borderId="0" fillId="12" fontId="2" numFmtId="0" xfId="0" applyAlignment="1" applyFon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2" fontId="22" numFmtId="0" xfId="0" applyAlignment="1" applyFont="1">
      <alignment horizontal="center" vertical="center"/>
    </xf>
    <xf borderId="0" fillId="14" fontId="15" numFmtId="0" xfId="0" applyAlignment="1" applyFont="1">
      <alignment horizontal="center" vertical="center"/>
    </xf>
    <xf borderId="0" fillId="14" fontId="2" numFmtId="0" xfId="0" applyAlignment="1" applyFon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11" numFmtId="167" xfId="0" applyAlignment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7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16" fontId="2" numFmtId="168" xfId="0" applyAlignment="1" applyFont="1" applyNumberFormat="1">
      <alignment horizontal="center" vertical="center"/>
    </xf>
    <xf borderId="0" fillId="16" fontId="2" numFmtId="168" xfId="0" applyAlignment="1" applyFont="1" applyNumberFormat="1">
      <alignment horizontal="center" readingOrder="0" vertical="center"/>
    </xf>
    <xf borderId="0" fillId="4" fontId="21" numFmtId="0" xfId="0" applyAlignment="1" applyFont="1">
      <alignment horizontal="center" readingOrder="0" vertical="center"/>
    </xf>
    <xf borderId="0" fillId="18" fontId="2" numFmtId="0" xfId="0" applyAlignment="1" applyFill="1" applyFont="1">
      <alignment vertical="bottom"/>
    </xf>
    <xf borderId="11" fillId="17" fontId="23" numFmtId="0" xfId="0" applyAlignment="1" applyBorder="1" applyFont="1">
      <alignment horizontal="center" vertical="bottom"/>
    </xf>
    <xf borderId="12" fillId="0" fontId="12" numFmtId="0" xfId="0" applyBorder="1" applyFont="1"/>
    <xf borderId="13" fillId="0" fontId="12" numFmtId="0" xfId="0" applyBorder="1" applyFont="1"/>
    <xf borderId="14" fillId="4" fontId="2" numFmtId="0" xfId="0" applyAlignment="1" applyBorder="1" applyFont="1">
      <alignment vertical="bottom"/>
    </xf>
    <xf borderId="15" fillId="4" fontId="2" numFmtId="0" xfId="0" applyAlignment="1" applyBorder="1" applyFont="1">
      <alignment vertical="bottom"/>
    </xf>
    <xf borderId="16" fillId="19" fontId="24" numFmtId="0" xfId="0" applyAlignment="1" applyBorder="1" applyFill="1" applyFont="1">
      <alignment horizontal="center" vertical="bottom"/>
    </xf>
    <xf borderId="17" fillId="0" fontId="12" numFmtId="0" xfId="0" applyBorder="1" applyFont="1"/>
    <xf borderId="18" fillId="19" fontId="25" numFmtId="0" xfId="0" applyAlignment="1" applyBorder="1" applyFont="1">
      <alignment horizontal="center" vertical="bottom"/>
    </xf>
    <xf borderId="19" fillId="0" fontId="12" numFmtId="0" xfId="0" applyBorder="1" applyFont="1"/>
    <xf borderId="20" fillId="0" fontId="12" numFmtId="0" xfId="0" applyBorder="1" applyFont="1"/>
    <xf borderId="21" fillId="20" fontId="26" numFmtId="0" xfId="0" applyAlignment="1" applyBorder="1" applyFill="1" applyFont="1">
      <alignment vertical="bottom"/>
    </xf>
    <xf borderId="22" fillId="20" fontId="26" numFmtId="166" xfId="0" applyAlignment="1" applyBorder="1" applyFont="1" applyNumberFormat="1">
      <alignment horizontal="center" vertical="bottom"/>
    </xf>
    <xf borderId="23" fillId="0" fontId="12" numFmtId="0" xfId="0" applyBorder="1" applyFont="1"/>
    <xf borderId="24" fillId="0" fontId="12" numFmtId="0" xfId="0" applyBorder="1" applyFont="1"/>
    <xf borderId="25" fillId="0" fontId="12" numFmtId="0" xfId="0" applyBorder="1" applyFont="1"/>
    <xf borderId="1" fillId="12" fontId="27" numFmtId="169" xfId="0" applyAlignment="1" applyBorder="1" applyFont="1" applyNumberFormat="1">
      <alignment horizontal="center" vertical="bottom"/>
    </xf>
    <xf borderId="0" fillId="0" fontId="28" numFmtId="0" xfId="0" applyAlignment="1" applyFont="1">
      <alignment horizontal="center" readingOrder="0" vertical="center"/>
    </xf>
    <xf borderId="16" fillId="20" fontId="26" numFmtId="0" xfId="0" applyAlignment="1" applyBorder="1" applyFont="1">
      <alignment vertical="bottom"/>
    </xf>
    <xf borderId="21" fillId="20" fontId="29" numFmtId="0" xfId="0" applyAlignment="1" applyBorder="1" applyFont="1">
      <alignment vertical="bottom"/>
    </xf>
    <xf borderId="0" fillId="21" fontId="29" numFmtId="3" xfId="0" applyAlignment="1" applyFill="1" applyFont="1" applyNumberFormat="1">
      <alignment horizontal="center" vertical="bottom"/>
    </xf>
    <xf borderId="0" fillId="9" fontId="30" numFmtId="0" xfId="0" applyAlignment="1" applyFont="1">
      <alignment shrinkToFit="0" vertical="bottom" wrapText="1"/>
    </xf>
    <xf borderId="0" fillId="21" fontId="29" numFmtId="164" xfId="0" applyAlignment="1" applyFont="1" applyNumberFormat="1">
      <alignment horizontal="center" vertical="bottom"/>
    </xf>
    <xf borderId="0" fillId="12" fontId="31" numFmtId="167" xfId="0" applyAlignment="1" applyFont="1" applyNumberFormat="1">
      <alignment horizontal="center"/>
    </xf>
    <xf borderId="0" fillId="9" fontId="10" numFmtId="0" xfId="0" applyAlignment="1" applyFont="1">
      <alignment shrinkToFit="0" vertical="bottom" wrapText="1"/>
    </xf>
    <xf borderId="0" fillId="12" fontId="32" numFmtId="0" xfId="0" applyAlignment="1" applyFont="1">
      <alignment vertical="bottom"/>
    </xf>
    <xf borderId="0" fillId="12" fontId="29" numFmtId="164" xfId="0" applyAlignment="1" applyFont="1" applyNumberFormat="1">
      <alignment horizontal="center" readingOrder="0" vertical="bottom"/>
    </xf>
    <xf borderId="0" fillId="16" fontId="33" numFmtId="167" xfId="0" applyAlignment="1" applyFont="1" applyNumberFormat="1">
      <alignment horizontal="center"/>
    </xf>
    <xf borderId="0" fillId="12" fontId="29" numFmtId="164" xfId="0" applyAlignment="1" applyFont="1" applyNumberFormat="1">
      <alignment horizontal="center" vertical="bottom"/>
    </xf>
    <xf borderId="26" fillId="12" fontId="26" numFmtId="0" xfId="0" applyAlignment="1" applyBorder="1" applyFont="1">
      <alignment vertical="bottom"/>
    </xf>
    <xf borderId="27" fillId="12" fontId="29" numFmtId="3" xfId="0" applyAlignment="1" applyBorder="1" applyFont="1" applyNumberFormat="1">
      <alignment horizontal="center" readingOrder="0" vertical="bottom"/>
    </xf>
    <xf borderId="21" fillId="22" fontId="34" numFmtId="0" xfId="0" applyAlignment="1" applyBorder="1" applyFill="1" applyFont="1">
      <alignment shrinkToFit="0" vertical="bottom" wrapText="1"/>
    </xf>
    <xf borderId="0" fillId="22" fontId="35" numFmtId="3" xfId="0" applyAlignment="1" applyFont="1" applyNumberFormat="1">
      <alignment horizontal="center"/>
    </xf>
    <xf borderId="0" fillId="12" fontId="36" numFmtId="0" xfId="0" applyAlignment="1" applyFont="1">
      <alignment horizontal="center" vertical="bottom"/>
    </xf>
    <xf borderId="0" fillId="12" fontId="36" numFmtId="0" xfId="0" applyAlignment="1" applyFont="1">
      <alignment horizontal="center" shrinkToFit="0" vertical="bottom" wrapText="1"/>
    </xf>
    <xf borderId="0" fillId="6" fontId="37" numFmtId="164" xfId="0" applyAlignment="1" applyFont="1" applyNumberFormat="1">
      <alignment horizontal="center" vertical="bottom"/>
    </xf>
    <xf borderId="0" fillId="17" fontId="37" numFmtId="164" xfId="0" applyAlignment="1" applyFont="1" applyNumberFormat="1">
      <alignment horizontal="center" vertical="bottom"/>
    </xf>
    <xf borderId="0" fillId="16" fontId="38" numFmtId="164" xfId="0" applyAlignment="1" applyFont="1" applyNumberFormat="1">
      <alignment horizontal="center" vertical="bottom"/>
    </xf>
    <xf borderId="0" fillId="16" fontId="37" numFmtId="3" xfId="0" applyAlignment="1" applyFont="1" applyNumberFormat="1">
      <alignment horizontal="center" vertical="bottom"/>
    </xf>
    <xf borderId="0" fillId="16" fontId="37" numFmtId="0" xfId="0" applyAlignment="1" applyFont="1">
      <alignment horizontal="center" vertical="bottom"/>
    </xf>
    <xf borderId="0" fillId="16" fontId="2" numFmtId="0" xfId="0" applyAlignment="1" applyFont="1">
      <alignment vertical="bottom"/>
    </xf>
    <xf borderId="0" fillId="16" fontId="3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0</xdr:row>
      <xdr:rowOff>0</xdr:rowOff>
    </xdr:from>
    <xdr:ext cx="1981200" cy="2676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857250</xdr:colOff>
      <xdr:row>4</xdr:row>
      <xdr:rowOff>19050</xdr:rowOff>
    </xdr:from>
    <xdr:ext cx="1057275" cy="11620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20.13"/>
    <col customWidth="1" min="2" max="2" width="17.25"/>
    <col customWidth="1" min="3" max="3" width="18.75"/>
    <col customWidth="1" min="4" max="4" width="17.38"/>
    <col customWidth="1" min="5" max="5" width="15.75"/>
    <col customWidth="1" min="6" max="6" width="17.25"/>
    <col customWidth="1" min="7" max="7" width="16.25"/>
    <col customWidth="1" min="8" max="8" width="22.13"/>
    <col customWidth="1" min="9" max="9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4">
        <v>2026.0</v>
      </c>
      <c r="D2" s="3" t="s">
        <v>10</v>
      </c>
      <c r="E2" s="5" t="s">
        <v>11</v>
      </c>
      <c r="F2" s="6" t="s">
        <v>12</v>
      </c>
      <c r="G2" s="7">
        <v>6800000.0</v>
      </c>
      <c r="H2" s="7">
        <v>800000.0</v>
      </c>
    </row>
    <row r="3">
      <c r="A3" s="8"/>
      <c r="B3" s="8"/>
      <c r="C3" s="8"/>
      <c r="D3" s="8"/>
      <c r="E3" s="8"/>
      <c r="F3" s="8"/>
      <c r="G3" s="8"/>
      <c r="H3" s="9"/>
    </row>
    <row r="4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</row>
    <row r="5">
      <c r="A5" s="12">
        <f>G2-H2</f>
        <v>6000000</v>
      </c>
      <c r="B5" s="13">
        <f>A5*170%</f>
        <v>10200000</v>
      </c>
      <c r="C5" s="14">
        <f>A5+B5</f>
        <v>16200000</v>
      </c>
      <c r="D5" s="15">
        <v>18.0</v>
      </c>
      <c r="E5" s="16">
        <f>C5/D5</f>
        <v>900000</v>
      </c>
      <c r="F5" s="17">
        <f t="shared" ref="F5:G5" si="1">E5/2</f>
        <v>450000</v>
      </c>
      <c r="G5" s="18">
        <f t="shared" si="1"/>
        <v>225000</v>
      </c>
      <c r="H5" s="16">
        <f>G5/6</f>
        <v>37500</v>
      </c>
    </row>
    <row r="6">
      <c r="A6" s="19" t="s">
        <v>21</v>
      </c>
      <c r="B6" s="19" t="s">
        <v>22</v>
      </c>
      <c r="C6" s="19" t="s">
        <v>23</v>
      </c>
      <c r="D6" s="19" t="s">
        <v>24</v>
      </c>
      <c r="E6" s="19" t="s">
        <v>25</v>
      </c>
      <c r="F6" s="20" t="s">
        <v>26</v>
      </c>
      <c r="G6" s="21" t="s">
        <v>27</v>
      </c>
      <c r="H6" s="21" t="s">
        <v>28</v>
      </c>
    </row>
    <row r="7">
      <c r="A7" s="22" t="s">
        <v>29</v>
      </c>
      <c r="B7" s="23"/>
      <c r="C7" s="24">
        <v>1.002249081E9</v>
      </c>
      <c r="D7" s="25" t="s">
        <v>30</v>
      </c>
      <c r="E7" s="26" t="s">
        <v>31</v>
      </c>
      <c r="F7" s="27">
        <v>380000.0</v>
      </c>
      <c r="G7" s="28">
        <v>280000.0</v>
      </c>
      <c r="H7" s="29"/>
    </row>
    <row r="8">
      <c r="A8" s="30"/>
      <c r="B8" s="30"/>
      <c r="C8" s="30"/>
      <c r="D8" s="30"/>
      <c r="E8" s="31"/>
      <c r="F8" s="32"/>
      <c r="G8" s="33"/>
      <c r="H8" s="34" t="s">
        <v>16</v>
      </c>
    </row>
    <row r="9">
      <c r="A9" s="35" t="s">
        <v>32</v>
      </c>
      <c r="C9" s="36" t="s">
        <v>33</v>
      </c>
      <c r="E9" s="36" t="s">
        <v>34</v>
      </c>
      <c r="G9" s="36" t="s">
        <v>35</v>
      </c>
      <c r="H9" s="37"/>
    </row>
    <row r="10">
      <c r="A10" s="38">
        <f>I14+I24+I34+I44+I54+I64+I74+I84+I94+I104+I114</f>
        <v>9159000</v>
      </c>
      <c r="C10" s="39">
        <f>C5-A10</f>
        <v>7041000</v>
      </c>
      <c r="E10" s="39"/>
      <c r="G10" s="40"/>
      <c r="H10" s="41">
        <f>I21+I31+I41+I51+I61+I71+I81+I91+I101+I111</f>
        <v>10</v>
      </c>
    </row>
    <row r="11">
      <c r="H11" s="42"/>
    </row>
    <row r="12">
      <c r="A12" s="43" t="s">
        <v>36</v>
      </c>
      <c r="E12" s="44"/>
      <c r="F12" s="45"/>
      <c r="G12" s="45"/>
      <c r="H12" s="46"/>
    </row>
    <row r="13">
      <c r="A13" s="47" t="s">
        <v>37</v>
      </c>
      <c r="B13" s="47" t="s">
        <v>38</v>
      </c>
      <c r="C13" s="47" t="s">
        <v>37</v>
      </c>
      <c r="D13" s="47" t="s">
        <v>38</v>
      </c>
      <c r="E13" s="47" t="s">
        <v>37</v>
      </c>
      <c r="F13" s="47" t="s">
        <v>38</v>
      </c>
      <c r="G13" s="47" t="s">
        <v>37</v>
      </c>
      <c r="H13" s="47" t="s">
        <v>38</v>
      </c>
      <c r="I13" s="48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50"/>
      <c r="B14" s="51"/>
      <c r="C14" s="52">
        <v>45901.0</v>
      </c>
      <c r="D14" s="51"/>
      <c r="E14" s="52">
        <v>45908.0</v>
      </c>
      <c r="F14" s="53"/>
      <c r="G14" s="52">
        <v>45915.0</v>
      </c>
      <c r="H14" s="51"/>
      <c r="I14" s="54">
        <f>B20+D20+F20+H20</f>
        <v>889000</v>
      </c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50"/>
      <c r="B15" s="51"/>
      <c r="C15" s="52">
        <v>45902.0</v>
      </c>
      <c r="D15" s="51"/>
      <c r="E15" s="52">
        <v>45909.0</v>
      </c>
      <c r="F15" s="55"/>
      <c r="G15" s="52">
        <v>45916.0</v>
      </c>
      <c r="H15" s="51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52">
        <v>45896.0</v>
      </c>
      <c r="B16" s="56">
        <v>180000.0</v>
      </c>
      <c r="C16" s="52">
        <v>45903.0</v>
      </c>
      <c r="D16" s="56">
        <v>260000.0</v>
      </c>
      <c r="E16" s="52">
        <v>45910.0</v>
      </c>
      <c r="F16" s="57">
        <v>224500.0</v>
      </c>
      <c r="G16" s="52">
        <v>45917.0</v>
      </c>
      <c r="H16" s="56">
        <v>224500.0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2">
        <v>45897.0</v>
      </c>
      <c r="B17" s="51"/>
      <c r="C17" s="52">
        <v>45904.0</v>
      </c>
      <c r="D17" s="51"/>
      <c r="E17" s="52">
        <v>45911.0</v>
      </c>
      <c r="F17" s="55"/>
      <c r="G17" s="52">
        <v>45918.0</v>
      </c>
      <c r="H17" s="51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52">
        <v>45898.0</v>
      </c>
      <c r="B18" s="51"/>
      <c r="C18" s="52">
        <v>45905.0</v>
      </c>
      <c r="D18" s="51"/>
      <c r="E18" s="52">
        <v>45912.0</v>
      </c>
      <c r="F18" s="55"/>
      <c r="G18" s="52">
        <v>45919.0</v>
      </c>
      <c r="H18" s="51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52">
        <v>45899.0</v>
      </c>
      <c r="B19" s="51"/>
      <c r="C19" s="52">
        <v>45906.0</v>
      </c>
      <c r="D19" s="51"/>
      <c r="E19" s="52">
        <v>45913.0</v>
      </c>
      <c r="F19" s="55"/>
      <c r="G19" s="52">
        <v>45920.0</v>
      </c>
      <c r="H19" s="51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58"/>
      <c r="B20" s="59">
        <f>SUM(B14:B19)</f>
        <v>180000</v>
      </c>
      <c r="C20" s="58"/>
      <c r="D20" s="59">
        <f>SUM(D14:D19)</f>
        <v>260000</v>
      </c>
      <c r="E20" s="58"/>
      <c r="F20" s="59">
        <f>SUM(F14:F19)</f>
        <v>224500</v>
      </c>
      <c r="G20" s="58"/>
      <c r="H20" s="59">
        <f>SUM(H14:H19)</f>
        <v>224500</v>
      </c>
      <c r="I20" s="60">
        <v>1.0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61" t="s">
        <v>39</v>
      </c>
      <c r="B21" s="62"/>
      <c r="C21" s="61" t="s">
        <v>39</v>
      </c>
      <c r="D21" s="62"/>
      <c r="E21" s="61" t="s">
        <v>39</v>
      </c>
      <c r="F21" s="62"/>
      <c r="G21" s="61" t="s">
        <v>39</v>
      </c>
      <c r="H21" s="62"/>
      <c r="I21" s="63">
        <v>1.0</v>
      </c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58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64" t="s">
        <v>37</v>
      </c>
      <c r="B23" s="64" t="s">
        <v>38</v>
      </c>
      <c r="C23" s="64" t="s">
        <v>37</v>
      </c>
      <c r="D23" s="64" t="s">
        <v>38</v>
      </c>
      <c r="E23" s="64" t="s">
        <v>37</v>
      </c>
      <c r="F23" s="64" t="s">
        <v>38</v>
      </c>
      <c r="G23" s="64" t="s">
        <v>37</v>
      </c>
      <c r="H23" s="64" t="s">
        <v>38</v>
      </c>
      <c r="I23" s="65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52">
        <v>45922.0</v>
      </c>
      <c r="B24" s="51"/>
      <c r="C24" s="52">
        <v>45929.0</v>
      </c>
      <c r="D24" s="66"/>
      <c r="E24" s="52">
        <v>45936.0</v>
      </c>
      <c r="F24" s="66"/>
      <c r="G24" s="52">
        <v>45943.0</v>
      </c>
      <c r="H24" s="53"/>
      <c r="I24" s="54">
        <f>B30+D30+F30+H30</f>
        <v>898000</v>
      </c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52">
        <v>45923.0</v>
      </c>
      <c r="B25" s="51"/>
      <c r="C25" s="52">
        <v>45930.0</v>
      </c>
      <c r="D25" s="55"/>
      <c r="E25" s="52">
        <v>45937.0</v>
      </c>
      <c r="F25" s="55"/>
      <c r="G25" s="52">
        <v>45944.0</v>
      </c>
      <c r="H25" s="55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52">
        <v>45924.0</v>
      </c>
      <c r="B26" s="56">
        <v>224500.0</v>
      </c>
      <c r="C26" s="52">
        <v>45931.0</v>
      </c>
      <c r="D26" s="57">
        <v>224500.0</v>
      </c>
      <c r="E26" s="52">
        <v>45938.0</v>
      </c>
      <c r="F26" s="57">
        <v>224500.0</v>
      </c>
      <c r="G26" s="52">
        <v>45945.0</v>
      </c>
      <c r="H26" s="57">
        <v>224500.0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52">
        <v>45925.0</v>
      </c>
      <c r="B27" s="51"/>
      <c r="C27" s="52">
        <v>45932.0</v>
      </c>
      <c r="D27" s="55"/>
      <c r="E27" s="52">
        <v>45939.0</v>
      </c>
      <c r="F27" s="55"/>
      <c r="G27" s="52">
        <v>45946.0</v>
      </c>
      <c r="H27" s="55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52">
        <v>45926.0</v>
      </c>
      <c r="B28" s="51"/>
      <c r="C28" s="52">
        <v>45933.0</v>
      </c>
      <c r="D28" s="55"/>
      <c r="E28" s="52">
        <v>45940.0</v>
      </c>
      <c r="F28" s="55"/>
      <c r="G28" s="52">
        <v>45947.0</v>
      </c>
      <c r="H28" s="55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52">
        <v>45927.0</v>
      </c>
      <c r="B29" s="51"/>
      <c r="C29" s="52">
        <v>45934.0</v>
      </c>
      <c r="D29" s="55"/>
      <c r="E29" s="52">
        <v>45941.0</v>
      </c>
      <c r="F29" s="55"/>
      <c r="G29" s="52">
        <v>45948.0</v>
      </c>
      <c r="H29" s="55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58"/>
      <c r="B30" s="59">
        <f>SUM(B24:B29)</f>
        <v>224500</v>
      </c>
      <c r="C30" s="58"/>
      <c r="D30" s="59">
        <f>SUM(D24:D29)</f>
        <v>224500</v>
      </c>
      <c r="E30" s="58"/>
      <c r="F30" s="59">
        <f>SUM(F24:F29)</f>
        <v>224500</v>
      </c>
      <c r="G30" s="58"/>
      <c r="H30" s="59">
        <f>SUM(H24:H29)</f>
        <v>224500</v>
      </c>
      <c r="I30" s="60">
        <v>2.0</v>
      </c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61" t="s">
        <v>39</v>
      </c>
      <c r="B31" s="62"/>
      <c r="C31" s="61" t="s">
        <v>39</v>
      </c>
      <c r="D31" s="62"/>
      <c r="E31" s="61" t="s">
        <v>39</v>
      </c>
      <c r="F31" s="62"/>
      <c r="G31" s="61" t="s">
        <v>39</v>
      </c>
      <c r="H31" s="62"/>
      <c r="I31" s="63">
        <v>1.0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58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64" t="s">
        <v>37</v>
      </c>
      <c r="B33" s="64" t="s">
        <v>38</v>
      </c>
      <c r="C33" s="64" t="s">
        <v>37</v>
      </c>
      <c r="D33" s="64" t="s">
        <v>38</v>
      </c>
      <c r="E33" s="64" t="s">
        <v>37</v>
      </c>
      <c r="F33" s="64" t="s">
        <v>38</v>
      </c>
      <c r="G33" s="64" t="s">
        <v>37</v>
      </c>
      <c r="H33" s="64" t="s">
        <v>38</v>
      </c>
      <c r="I33" s="65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52">
        <v>45950.0</v>
      </c>
      <c r="B34" s="51"/>
      <c r="C34" s="52">
        <v>45957.0</v>
      </c>
      <c r="D34" s="51"/>
      <c r="E34" s="52">
        <v>45964.0</v>
      </c>
      <c r="F34" s="51"/>
      <c r="G34" s="52">
        <v>45971.0</v>
      </c>
      <c r="H34" s="51"/>
      <c r="I34" s="54">
        <f>B40+D40+F40+H40</f>
        <v>897500</v>
      </c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52">
        <v>45951.0</v>
      </c>
      <c r="B35" s="51"/>
      <c r="C35" s="52">
        <v>45958.0</v>
      </c>
      <c r="D35" s="51"/>
      <c r="E35" s="52">
        <v>45965.0</v>
      </c>
      <c r="F35" s="51"/>
      <c r="G35" s="52">
        <v>45972.0</v>
      </c>
      <c r="H35" s="51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52">
        <v>45952.0</v>
      </c>
      <c r="B36" s="56">
        <v>224500.0</v>
      </c>
      <c r="C36" s="52">
        <v>45959.0</v>
      </c>
      <c r="D36" s="56">
        <v>224500.0</v>
      </c>
      <c r="E36" s="52">
        <v>45966.0</v>
      </c>
      <c r="F36" s="56">
        <v>224500.0</v>
      </c>
      <c r="G36" s="52">
        <v>45973.0</v>
      </c>
      <c r="H36" s="56">
        <v>224000.0</v>
      </c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52">
        <v>45953.0</v>
      </c>
      <c r="B37" s="51"/>
      <c r="C37" s="52">
        <v>45960.0</v>
      </c>
      <c r="D37" s="51"/>
      <c r="E37" s="52">
        <v>45967.0</v>
      </c>
      <c r="F37" s="51"/>
      <c r="G37" s="52">
        <v>45974.0</v>
      </c>
      <c r="H37" s="51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52">
        <v>45954.0</v>
      </c>
      <c r="B38" s="51"/>
      <c r="C38" s="52">
        <v>45961.0</v>
      </c>
      <c r="D38" s="51"/>
      <c r="E38" s="52">
        <v>45968.0</v>
      </c>
      <c r="F38" s="51"/>
      <c r="G38" s="52">
        <v>45975.0</v>
      </c>
      <c r="H38" s="51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52">
        <v>45955.0</v>
      </c>
      <c r="B39" s="51"/>
      <c r="C39" s="52">
        <v>45962.0</v>
      </c>
      <c r="D39" s="51"/>
      <c r="E39" s="52">
        <v>45969.0</v>
      </c>
      <c r="F39" s="51"/>
      <c r="G39" s="52">
        <v>45976.0</v>
      </c>
      <c r="H39" s="51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58"/>
      <c r="B40" s="59">
        <f>SUM(B34:B39)</f>
        <v>224500</v>
      </c>
      <c r="C40" s="58"/>
      <c r="D40" s="59">
        <f>SUM(D34:D39)</f>
        <v>224500</v>
      </c>
      <c r="E40" s="58"/>
      <c r="F40" s="59">
        <f>SUM(F34:F39)</f>
        <v>224500</v>
      </c>
      <c r="G40" s="58"/>
      <c r="H40" s="59">
        <f>SUM(H34:H39)</f>
        <v>224000</v>
      </c>
      <c r="I40" s="60">
        <v>3.0</v>
      </c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61" t="s">
        <v>39</v>
      </c>
      <c r="B41" s="62"/>
      <c r="C41" s="61" t="s">
        <v>39</v>
      </c>
      <c r="D41" s="62"/>
      <c r="E41" s="61" t="s">
        <v>39</v>
      </c>
      <c r="F41" s="62"/>
      <c r="G41" s="61" t="s">
        <v>39</v>
      </c>
      <c r="H41" s="62"/>
      <c r="I41" s="63">
        <v>1.0</v>
      </c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58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64" t="s">
        <v>37</v>
      </c>
      <c r="B43" s="64" t="s">
        <v>38</v>
      </c>
      <c r="C43" s="64" t="s">
        <v>37</v>
      </c>
      <c r="D43" s="64" t="s">
        <v>38</v>
      </c>
      <c r="E43" s="64" t="s">
        <v>37</v>
      </c>
      <c r="F43" s="64" t="s">
        <v>38</v>
      </c>
      <c r="G43" s="64" t="s">
        <v>37</v>
      </c>
      <c r="H43" s="64" t="s">
        <v>38</v>
      </c>
      <c r="I43" s="65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52">
        <v>45978.0</v>
      </c>
      <c r="B44" s="67">
        <v>224500.0</v>
      </c>
      <c r="C44" s="52">
        <v>45985.0</v>
      </c>
      <c r="D44" s="67">
        <v>224500.0</v>
      </c>
      <c r="E44" s="52">
        <v>45992.0</v>
      </c>
      <c r="F44" s="67">
        <v>224500.0</v>
      </c>
      <c r="G44" s="52">
        <v>45999.0</v>
      </c>
      <c r="H44" s="68">
        <v>224500.0</v>
      </c>
      <c r="I44" s="54">
        <f>B50+D50+F50+H50</f>
        <v>898000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52">
        <v>45979.0</v>
      </c>
      <c r="C45" s="52">
        <v>45986.0</v>
      </c>
      <c r="E45" s="52">
        <v>45993.0</v>
      </c>
      <c r="G45" s="52">
        <v>46000.0</v>
      </c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52">
        <v>45980.0</v>
      </c>
      <c r="C46" s="52">
        <v>45987.0</v>
      </c>
      <c r="E46" s="52">
        <v>45994.0</v>
      </c>
      <c r="G46" s="52">
        <v>46001.0</v>
      </c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52">
        <v>45981.0</v>
      </c>
      <c r="C47" s="52">
        <v>45988.0</v>
      </c>
      <c r="E47" s="52">
        <v>45995.0</v>
      </c>
      <c r="G47" s="52">
        <v>46002.0</v>
      </c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52">
        <v>45982.0</v>
      </c>
      <c r="C48" s="52">
        <v>45989.0</v>
      </c>
      <c r="E48" s="52">
        <v>45996.0</v>
      </c>
      <c r="G48" s="52">
        <v>46003.0</v>
      </c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52">
        <v>45983.0</v>
      </c>
      <c r="C49" s="52">
        <v>45990.0</v>
      </c>
      <c r="E49" s="52">
        <v>45997.0</v>
      </c>
      <c r="G49" s="52">
        <v>46004.0</v>
      </c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58"/>
      <c r="B50" s="59">
        <f>B44</f>
        <v>224500</v>
      </c>
      <c r="C50" s="58"/>
      <c r="D50" s="59">
        <f>D44</f>
        <v>224500</v>
      </c>
      <c r="E50" s="58"/>
      <c r="F50" s="59">
        <f>F44</f>
        <v>224500</v>
      </c>
      <c r="G50" s="58"/>
      <c r="H50" s="59">
        <f>H44</f>
        <v>224500</v>
      </c>
      <c r="I50" s="60">
        <v>4.0</v>
      </c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61" t="s">
        <v>39</v>
      </c>
      <c r="B51" s="62"/>
      <c r="C51" s="61" t="s">
        <v>39</v>
      </c>
      <c r="D51" s="62"/>
      <c r="E51" s="61" t="s">
        <v>39</v>
      </c>
      <c r="F51" s="62"/>
      <c r="G51" s="61" t="s">
        <v>39</v>
      </c>
      <c r="H51" s="62"/>
      <c r="I51" s="63">
        <v>1.0</v>
      </c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58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64" t="s">
        <v>37</v>
      </c>
      <c r="B53" s="64" t="s">
        <v>38</v>
      </c>
      <c r="C53" s="64" t="s">
        <v>37</v>
      </c>
      <c r="D53" s="64" t="s">
        <v>38</v>
      </c>
      <c r="E53" s="64" t="s">
        <v>37</v>
      </c>
      <c r="F53" s="64" t="s">
        <v>38</v>
      </c>
      <c r="G53" s="64" t="s">
        <v>37</v>
      </c>
      <c r="H53" s="64" t="s">
        <v>38</v>
      </c>
      <c r="I53" s="65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52">
        <v>46006.0</v>
      </c>
      <c r="B54" s="67">
        <v>224500.0</v>
      </c>
      <c r="C54" s="52">
        <v>46013.0</v>
      </c>
      <c r="D54" s="69"/>
      <c r="E54" s="52">
        <v>46020.0</v>
      </c>
      <c r="F54" s="69"/>
      <c r="G54" s="52">
        <v>46027.0</v>
      </c>
      <c r="H54" s="69"/>
      <c r="I54" s="54">
        <f>B60+D60+F60+H60</f>
        <v>898000</v>
      </c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52">
        <v>46007.0</v>
      </c>
      <c r="C55" s="52">
        <v>46014.0</v>
      </c>
      <c r="D55" s="55"/>
      <c r="E55" s="52">
        <v>46021.0</v>
      </c>
      <c r="F55" s="55"/>
      <c r="G55" s="52">
        <v>46028.0</v>
      </c>
      <c r="H55" s="55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52">
        <v>46008.0</v>
      </c>
      <c r="C56" s="52">
        <v>46015.0</v>
      </c>
      <c r="D56" s="70">
        <v>224500.0</v>
      </c>
      <c r="E56" s="52">
        <v>46022.0</v>
      </c>
      <c r="F56" s="70">
        <v>224500.0</v>
      </c>
      <c r="G56" s="52">
        <v>46029.0</v>
      </c>
      <c r="H56" s="70">
        <v>224500.0</v>
      </c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52">
        <v>46009.0</v>
      </c>
      <c r="C57" s="52">
        <v>46016.0</v>
      </c>
      <c r="D57" s="55"/>
      <c r="E57" s="52">
        <v>46023.0</v>
      </c>
      <c r="F57" s="55"/>
      <c r="G57" s="52">
        <v>46030.0</v>
      </c>
      <c r="H57" s="55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52">
        <v>46010.0</v>
      </c>
      <c r="C58" s="52">
        <v>46017.0</v>
      </c>
      <c r="D58" s="55"/>
      <c r="E58" s="52">
        <v>46024.0</v>
      </c>
      <c r="F58" s="55"/>
      <c r="G58" s="52">
        <v>46031.0</v>
      </c>
      <c r="H58" s="55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52">
        <v>46011.0</v>
      </c>
      <c r="C59" s="52">
        <v>46018.0</v>
      </c>
      <c r="D59" s="55"/>
      <c r="E59" s="52">
        <v>46025.0</v>
      </c>
      <c r="F59" s="55"/>
      <c r="G59" s="52">
        <v>46032.0</v>
      </c>
      <c r="H59" s="55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58"/>
      <c r="B60" s="59">
        <f>SUM(B54:B59)</f>
        <v>224500</v>
      </c>
      <c r="C60" s="58"/>
      <c r="D60" s="59">
        <f>SUM(D54:D59)</f>
        <v>224500</v>
      </c>
      <c r="E60" s="58"/>
      <c r="F60" s="59">
        <f>SUM(F54:F59)</f>
        <v>224500</v>
      </c>
      <c r="G60" s="58"/>
      <c r="H60" s="59">
        <f>SUM(H54:H59)</f>
        <v>224500</v>
      </c>
      <c r="I60" s="60">
        <v>5.0</v>
      </c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61" t="s">
        <v>39</v>
      </c>
      <c r="B61" s="62"/>
      <c r="C61" s="61" t="s">
        <v>39</v>
      </c>
      <c r="D61" s="62"/>
      <c r="E61" s="61" t="s">
        <v>39</v>
      </c>
      <c r="F61" s="62"/>
      <c r="G61" s="61" t="s">
        <v>39</v>
      </c>
      <c r="H61" s="62"/>
      <c r="I61" s="63">
        <v>1.0</v>
      </c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58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64" t="s">
        <v>37</v>
      </c>
      <c r="B63" s="64" t="s">
        <v>38</v>
      </c>
      <c r="C63" s="64" t="s">
        <v>37</v>
      </c>
      <c r="D63" s="64" t="s">
        <v>38</v>
      </c>
      <c r="E63" s="64" t="s">
        <v>37</v>
      </c>
      <c r="F63" s="64" t="s">
        <v>38</v>
      </c>
      <c r="G63" s="64" t="s">
        <v>37</v>
      </c>
      <c r="H63" s="64" t="s">
        <v>38</v>
      </c>
      <c r="I63" s="65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52">
        <v>46034.0</v>
      </c>
      <c r="B64" s="69"/>
      <c r="C64" s="52">
        <v>46041.0</v>
      </c>
      <c r="D64" s="69"/>
      <c r="E64" s="52">
        <v>46048.0</v>
      </c>
      <c r="F64" s="69"/>
      <c r="G64" s="52">
        <v>46055.0</v>
      </c>
      <c r="H64" s="69"/>
      <c r="I64" s="54">
        <f>B70+D70+F70+H70</f>
        <v>898000</v>
      </c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52">
        <v>46035.0</v>
      </c>
      <c r="B65" s="55"/>
      <c r="C65" s="52">
        <v>46042.0</v>
      </c>
      <c r="D65" s="55"/>
      <c r="E65" s="52">
        <v>46049.0</v>
      </c>
      <c r="F65" s="55"/>
      <c r="G65" s="52">
        <v>46056.0</v>
      </c>
      <c r="H65" s="55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52">
        <v>46036.0</v>
      </c>
      <c r="B66" s="71">
        <v>224500.0</v>
      </c>
      <c r="C66" s="52">
        <v>46043.0</v>
      </c>
      <c r="D66" s="71">
        <v>224500.0</v>
      </c>
      <c r="E66" s="52">
        <v>46050.0</v>
      </c>
      <c r="F66" s="71">
        <v>224500.0</v>
      </c>
      <c r="G66" s="52">
        <v>46057.0</v>
      </c>
      <c r="H66" s="71">
        <v>224500.0</v>
      </c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52">
        <v>46037.0</v>
      </c>
      <c r="B67" s="55"/>
      <c r="C67" s="52">
        <v>46044.0</v>
      </c>
      <c r="D67" s="55"/>
      <c r="E67" s="52">
        <v>46051.0</v>
      </c>
      <c r="F67" s="55"/>
      <c r="G67" s="52">
        <v>46058.0</v>
      </c>
      <c r="H67" s="55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52">
        <v>46038.0</v>
      </c>
      <c r="B68" s="55"/>
      <c r="C68" s="52">
        <v>46045.0</v>
      </c>
      <c r="D68" s="55"/>
      <c r="E68" s="52">
        <v>46052.0</v>
      </c>
      <c r="F68" s="55"/>
      <c r="G68" s="52">
        <v>46059.0</v>
      </c>
      <c r="H68" s="55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52">
        <v>46039.0</v>
      </c>
      <c r="B69" s="55"/>
      <c r="C69" s="52">
        <v>46046.0</v>
      </c>
      <c r="D69" s="55"/>
      <c r="E69" s="52">
        <v>46053.0</v>
      </c>
      <c r="F69" s="55"/>
      <c r="G69" s="52">
        <v>46060.0</v>
      </c>
      <c r="H69" s="55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58"/>
      <c r="B70" s="59">
        <f>SUM(B64:B69)</f>
        <v>224500</v>
      </c>
      <c r="C70" s="58"/>
      <c r="D70" s="59">
        <f>SUM(D64:D69)</f>
        <v>224500</v>
      </c>
      <c r="E70" s="58"/>
      <c r="F70" s="59">
        <f>SUM(F64:F69)</f>
        <v>224500</v>
      </c>
      <c r="G70" s="58"/>
      <c r="H70" s="59">
        <f>SUM(H64:H69)</f>
        <v>224500</v>
      </c>
      <c r="I70" s="60">
        <v>6.0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61" t="s">
        <v>39</v>
      </c>
      <c r="B71" s="62" t="s">
        <v>40</v>
      </c>
      <c r="C71" s="61" t="s">
        <v>39</v>
      </c>
      <c r="D71" s="62"/>
      <c r="E71" s="61" t="s">
        <v>39</v>
      </c>
      <c r="F71" s="62"/>
      <c r="G71" s="61" t="s">
        <v>39</v>
      </c>
      <c r="H71" s="62"/>
      <c r="I71" s="63">
        <v>1.0</v>
      </c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58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64" t="s">
        <v>37</v>
      </c>
      <c r="B73" s="64" t="s">
        <v>38</v>
      </c>
      <c r="C73" s="64" t="s">
        <v>37</v>
      </c>
      <c r="D73" s="64" t="s">
        <v>38</v>
      </c>
      <c r="E73" s="64" t="s">
        <v>37</v>
      </c>
      <c r="F73" s="64" t="s">
        <v>38</v>
      </c>
      <c r="G73" s="64" t="s">
        <v>37</v>
      </c>
      <c r="H73" s="64" t="s">
        <v>38</v>
      </c>
      <c r="I73" s="65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52">
        <v>46062.0</v>
      </c>
      <c r="B74" s="72"/>
      <c r="C74" s="52">
        <v>46069.0</v>
      </c>
      <c r="D74" s="72"/>
      <c r="E74" s="52">
        <v>46076.0</v>
      </c>
      <c r="F74" s="72"/>
      <c r="G74" s="52">
        <v>46083.0</v>
      </c>
      <c r="H74" s="72"/>
      <c r="I74" s="54">
        <f>B80+D80+F80+H80</f>
        <v>896500</v>
      </c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52">
        <v>46063.0</v>
      </c>
      <c r="B75" s="55"/>
      <c r="C75" s="52">
        <v>46070.0</v>
      </c>
      <c r="D75" s="55"/>
      <c r="E75" s="52">
        <v>46077.0</v>
      </c>
      <c r="F75" s="55"/>
      <c r="G75" s="52">
        <v>46084.0</v>
      </c>
      <c r="H75" s="55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52">
        <v>46064.0</v>
      </c>
      <c r="B76" s="71">
        <v>224500.0</v>
      </c>
      <c r="C76" s="52">
        <v>46071.0</v>
      </c>
      <c r="D76" s="71">
        <v>224000.0</v>
      </c>
      <c r="E76" s="52">
        <v>46078.0</v>
      </c>
      <c r="F76" s="71">
        <v>224000.0</v>
      </c>
      <c r="G76" s="52">
        <v>46085.0</v>
      </c>
      <c r="H76" s="71">
        <v>224000.0</v>
      </c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52">
        <v>46065.0</v>
      </c>
      <c r="B77" s="55"/>
      <c r="C77" s="52">
        <v>46072.0</v>
      </c>
      <c r="D77" s="55"/>
      <c r="E77" s="52">
        <v>46079.0</v>
      </c>
      <c r="F77" s="55"/>
      <c r="G77" s="52">
        <v>46086.0</v>
      </c>
      <c r="H77" s="55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52">
        <v>46066.0</v>
      </c>
      <c r="B78" s="55"/>
      <c r="C78" s="52">
        <v>46073.0</v>
      </c>
      <c r="D78" s="55"/>
      <c r="E78" s="52">
        <v>46080.0</v>
      </c>
      <c r="F78" s="55"/>
      <c r="G78" s="52">
        <v>46087.0</v>
      </c>
      <c r="H78" s="55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52">
        <v>46067.0</v>
      </c>
      <c r="B79" s="55"/>
      <c r="C79" s="52">
        <v>46074.0</v>
      </c>
      <c r="D79" s="55"/>
      <c r="E79" s="52">
        <v>46081.0</v>
      </c>
      <c r="F79" s="55"/>
      <c r="G79" s="52">
        <v>46088.0</v>
      </c>
      <c r="H79" s="55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58"/>
      <c r="B80" s="59">
        <f>SUM(B74:B79)</f>
        <v>224500</v>
      </c>
      <c r="C80" s="58"/>
      <c r="D80" s="59">
        <f>SUM(D74:D79)</f>
        <v>224000</v>
      </c>
      <c r="E80" s="58"/>
      <c r="F80" s="59">
        <f>SUM(F74:F79)</f>
        <v>224000</v>
      </c>
      <c r="G80" s="58"/>
      <c r="H80" s="59">
        <f>SUM(H74:H79)</f>
        <v>224000</v>
      </c>
      <c r="I80" s="60">
        <v>7.0</v>
      </c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61" t="s">
        <v>39</v>
      </c>
      <c r="B81" s="62"/>
      <c r="C81" s="61" t="s">
        <v>39</v>
      </c>
      <c r="D81" s="62"/>
      <c r="E81" s="61" t="s">
        <v>39</v>
      </c>
      <c r="F81" s="62"/>
      <c r="G81" s="61" t="s">
        <v>39</v>
      </c>
      <c r="H81" s="62"/>
      <c r="I81" s="63">
        <v>1.0</v>
      </c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58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64" t="s">
        <v>37</v>
      </c>
      <c r="B83" s="64" t="s">
        <v>38</v>
      </c>
      <c r="C83" s="64" t="s">
        <v>37</v>
      </c>
      <c r="D83" s="64" t="s">
        <v>38</v>
      </c>
      <c r="E83" s="64" t="s">
        <v>37</v>
      </c>
      <c r="F83" s="64" t="s">
        <v>38</v>
      </c>
      <c r="G83" s="64" t="s">
        <v>37</v>
      </c>
      <c r="H83" s="64" t="s">
        <v>38</v>
      </c>
      <c r="I83" s="65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52">
        <v>46090.0</v>
      </c>
      <c r="B84" s="73"/>
      <c r="C84" s="52">
        <v>46097.0</v>
      </c>
      <c r="D84" s="73"/>
      <c r="E84" s="52">
        <v>46104.0</v>
      </c>
      <c r="F84" s="73"/>
      <c r="G84" s="52">
        <v>46111.0</v>
      </c>
      <c r="H84" s="73"/>
      <c r="I84" s="54">
        <f>B90+D90+F90+H90</f>
        <v>863500</v>
      </c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52">
        <v>46091.0</v>
      </c>
      <c r="B85" s="71">
        <v>224500.0</v>
      </c>
      <c r="C85" s="52">
        <v>46098.0</v>
      </c>
      <c r="D85" s="53"/>
      <c r="E85" s="52">
        <v>46105.0</v>
      </c>
      <c r="F85" s="55"/>
      <c r="G85" s="52">
        <v>46112.0</v>
      </c>
      <c r="H85" s="55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52">
        <v>46092.0</v>
      </c>
      <c r="B86" s="55"/>
      <c r="C86" s="52">
        <v>46099.0</v>
      </c>
      <c r="D86" s="55"/>
      <c r="E86" s="52">
        <v>46106.0</v>
      </c>
      <c r="F86" s="55"/>
      <c r="G86" s="52">
        <v>46113.0</v>
      </c>
      <c r="H86" s="55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52">
        <v>46093.0</v>
      </c>
      <c r="B87" s="55"/>
      <c r="C87" s="52">
        <v>46100.0</v>
      </c>
      <c r="D87" s="74">
        <v>224500.0</v>
      </c>
      <c r="E87" s="52">
        <v>46107.0</v>
      </c>
      <c r="F87" s="74">
        <v>224500.0</v>
      </c>
      <c r="G87" s="52">
        <v>46114.0</v>
      </c>
      <c r="H87" s="74">
        <v>190000.0</v>
      </c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52">
        <v>46094.0</v>
      </c>
      <c r="B88" s="55"/>
      <c r="C88" s="52">
        <v>46101.0</v>
      </c>
      <c r="D88" s="55"/>
      <c r="E88" s="52">
        <v>46108.0</v>
      </c>
      <c r="F88" s="55"/>
      <c r="G88" s="52">
        <v>46115.0</v>
      </c>
      <c r="H88" s="55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52">
        <v>46095.0</v>
      </c>
      <c r="B89" s="55"/>
      <c r="C89" s="52">
        <v>46102.0</v>
      </c>
      <c r="D89" s="55"/>
      <c r="E89" s="52">
        <v>46109.0</v>
      </c>
      <c r="F89" s="55"/>
      <c r="G89" s="52">
        <v>46116.0</v>
      </c>
      <c r="H89" s="55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58"/>
      <c r="B90" s="59">
        <f>SUM(B84:B89)</f>
        <v>224500</v>
      </c>
      <c r="C90" s="58"/>
      <c r="D90" s="59">
        <f>SUM(D84:D89)</f>
        <v>224500</v>
      </c>
      <c r="E90" s="58"/>
      <c r="F90" s="59">
        <f>SUM(F84:F89)</f>
        <v>224500</v>
      </c>
      <c r="G90" s="58"/>
      <c r="H90" s="59">
        <f>SUM(H84:H89)</f>
        <v>190000</v>
      </c>
      <c r="I90" s="60">
        <v>8.0</v>
      </c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61" t="s">
        <v>39</v>
      </c>
      <c r="B91" s="62"/>
      <c r="C91" s="61" t="s">
        <v>39</v>
      </c>
      <c r="D91" s="62"/>
      <c r="E91" s="61" t="s">
        <v>39</v>
      </c>
      <c r="F91" s="62"/>
      <c r="G91" s="61" t="s">
        <v>39</v>
      </c>
      <c r="H91" s="62"/>
      <c r="I91" s="63">
        <v>1.0</v>
      </c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58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64" t="s">
        <v>37</v>
      </c>
      <c r="B93" s="64" t="s">
        <v>38</v>
      </c>
      <c r="C93" s="64" t="s">
        <v>37</v>
      </c>
      <c r="D93" s="64" t="s">
        <v>38</v>
      </c>
      <c r="E93" s="64" t="s">
        <v>37</v>
      </c>
      <c r="F93" s="64" t="s">
        <v>38</v>
      </c>
      <c r="G93" s="64" t="s">
        <v>37</v>
      </c>
      <c r="H93" s="64" t="s">
        <v>38</v>
      </c>
      <c r="I93" s="65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52">
        <v>46118.0</v>
      </c>
      <c r="B94" s="74">
        <v>224500.0</v>
      </c>
      <c r="C94" s="52">
        <v>46125.0</v>
      </c>
      <c r="D94" s="74">
        <v>224500.0</v>
      </c>
      <c r="E94" s="52">
        <v>46132.0</v>
      </c>
      <c r="F94" s="74">
        <v>224500.0</v>
      </c>
      <c r="G94" s="52">
        <v>46125.0</v>
      </c>
      <c r="H94" s="74">
        <v>224500.0</v>
      </c>
      <c r="I94" s="54">
        <f>B100+D100+F100+H100</f>
        <v>898000</v>
      </c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52">
        <v>46119.0</v>
      </c>
      <c r="B95" s="71"/>
      <c r="C95" s="52">
        <v>46126.0</v>
      </c>
      <c r="D95" s="53"/>
      <c r="E95" s="52">
        <v>46133.0</v>
      </c>
      <c r="F95" s="55"/>
      <c r="G95" s="52">
        <v>46126.0</v>
      </c>
      <c r="H95" s="55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52">
        <v>46120.0</v>
      </c>
      <c r="B96" s="55"/>
      <c r="C96" s="52">
        <v>46127.0</v>
      </c>
      <c r="D96" s="55"/>
      <c r="E96" s="52">
        <v>46134.0</v>
      </c>
      <c r="F96" s="55"/>
      <c r="G96" s="52">
        <v>46127.0</v>
      </c>
      <c r="H96" s="55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52">
        <v>46121.0</v>
      </c>
      <c r="B97" s="55"/>
      <c r="C97" s="52">
        <v>46128.0</v>
      </c>
      <c r="D97" s="74"/>
      <c r="E97" s="52">
        <v>46135.0</v>
      </c>
      <c r="F97" s="74"/>
      <c r="G97" s="52">
        <v>46128.0</v>
      </c>
      <c r="H97" s="74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52">
        <v>46122.0</v>
      </c>
      <c r="B98" s="55"/>
      <c r="C98" s="52">
        <v>46129.0</v>
      </c>
      <c r="D98" s="55"/>
      <c r="E98" s="52">
        <v>46136.0</v>
      </c>
      <c r="F98" s="55"/>
      <c r="G98" s="52">
        <v>46129.0</v>
      </c>
      <c r="H98" s="55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52">
        <v>46123.0</v>
      </c>
      <c r="B99" s="55"/>
      <c r="C99" s="52">
        <v>46130.0</v>
      </c>
      <c r="D99" s="55"/>
      <c r="E99" s="52">
        <v>46137.0</v>
      </c>
      <c r="F99" s="55"/>
      <c r="G99" s="52">
        <v>46130.0</v>
      </c>
      <c r="H99" s="55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58"/>
      <c r="B100" s="59">
        <f>SUM(B94:B99)</f>
        <v>224500</v>
      </c>
      <c r="C100" s="58"/>
      <c r="D100" s="59">
        <f>SUM(D94:D99)</f>
        <v>224500</v>
      </c>
      <c r="E100" s="58"/>
      <c r="F100" s="59">
        <f>SUM(F94:F99)</f>
        <v>224500</v>
      </c>
      <c r="G100" s="58"/>
      <c r="H100" s="59">
        <f>SUM(H94:H99)</f>
        <v>224500</v>
      </c>
      <c r="I100" s="75">
        <v>9.0</v>
      </c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61" t="s">
        <v>39</v>
      </c>
      <c r="B101" s="62"/>
      <c r="C101" s="61" t="s">
        <v>39</v>
      </c>
      <c r="D101" s="62"/>
      <c r="E101" s="61" t="s">
        <v>39</v>
      </c>
      <c r="F101" s="62"/>
      <c r="G101" s="61" t="s">
        <v>39</v>
      </c>
      <c r="H101" s="62"/>
      <c r="I101" s="63">
        <v>1.0</v>
      </c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58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64" t="s">
        <v>37</v>
      </c>
      <c r="B103" s="64" t="s">
        <v>38</v>
      </c>
      <c r="C103" s="64" t="s">
        <v>37</v>
      </c>
      <c r="D103" s="64" t="s">
        <v>38</v>
      </c>
      <c r="E103" s="64" t="s">
        <v>37</v>
      </c>
      <c r="F103" s="64" t="s">
        <v>38</v>
      </c>
      <c r="G103" s="64" t="s">
        <v>37</v>
      </c>
      <c r="H103" s="64" t="s">
        <v>38</v>
      </c>
      <c r="I103" s="65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52">
        <v>46132.0</v>
      </c>
      <c r="B104" s="74">
        <v>224500.0</v>
      </c>
      <c r="C104" s="52">
        <v>46139.0</v>
      </c>
      <c r="D104" s="74">
        <v>224500.0</v>
      </c>
      <c r="E104" s="52">
        <v>46146.0</v>
      </c>
      <c r="F104" s="74">
        <v>224500.0</v>
      </c>
      <c r="G104" s="52">
        <v>46153.0</v>
      </c>
      <c r="H104" s="74">
        <v>224500.0</v>
      </c>
      <c r="I104" s="54">
        <f>B110+D110+F110+H110</f>
        <v>898000</v>
      </c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52">
        <v>46133.0</v>
      </c>
      <c r="B105" s="71"/>
      <c r="C105" s="52">
        <v>46140.0</v>
      </c>
      <c r="D105" s="53"/>
      <c r="E105" s="52">
        <v>46147.0</v>
      </c>
      <c r="F105" s="55"/>
      <c r="G105" s="52">
        <v>46154.0</v>
      </c>
      <c r="H105" s="55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52">
        <v>46134.0</v>
      </c>
      <c r="B106" s="55"/>
      <c r="C106" s="52">
        <v>46141.0</v>
      </c>
      <c r="D106" s="55"/>
      <c r="E106" s="52">
        <v>46148.0</v>
      </c>
      <c r="F106" s="55"/>
      <c r="G106" s="52">
        <v>46155.0</v>
      </c>
      <c r="H106" s="55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52">
        <v>46135.0</v>
      </c>
      <c r="B107" s="55"/>
      <c r="C107" s="52">
        <v>46142.0</v>
      </c>
      <c r="D107" s="74"/>
      <c r="E107" s="52">
        <v>46149.0</v>
      </c>
      <c r="F107" s="74"/>
      <c r="G107" s="52">
        <v>46156.0</v>
      </c>
      <c r="H107" s="74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52">
        <v>46136.0</v>
      </c>
      <c r="B108" s="55"/>
      <c r="C108" s="52">
        <v>46143.0</v>
      </c>
      <c r="D108" s="55"/>
      <c r="E108" s="52">
        <v>46150.0</v>
      </c>
      <c r="F108" s="55"/>
      <c r="G108" s="52">
        <v>46157.0</v>
      </c>
      <c r="H108" s="55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52">
        <v>46137.0</v>
      </c>
      <c r="B109" s="55"/>
      <c r="C109" s="52">
        <v>46144.0</v>
      </c>
      <c r="D109" s="55"/>
      <c r="E109" s="52">
        <v>46151.0</v>
      </c>
      <c r="F109" s="55"/>
      <c r="G109" s="52">
        <v>46158.0</v>
      </c>
      <c r="H109" s="55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58"/>
      <c r="B110" s="59">
        <f>SUM(B104:B109)</f>
        <v>224500</v>
      </c>
      <c r="C110" s="58"/>
      <c r="D110" s="59">
        <f>SUM(D104:D109)</f>
        <v>224500</v>
      </c>
      <c r="E110" s="58"/>
      <c r="F110" s="59">
        <f>SUM(F104:F109)</f>
        <v>224500</v>
      </c>
      <c r="G110" s="58"/>
      <c r="H110" s="59">
        <f>SUM(H104:H109)</f>
        <v>224500</v>
      </c>
      <c r="I110" s="75">
        <v>10.0</v>
      </c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61" t="s">
        <v>39</v>
      </c>
      <c r="B111" s="62"/>
      <c r="C111" s="61" t="s">
        <v>39</v>
      </c>
      <c r="D111" s="62"/>
      <c r="E111" s="61" t="s">
        <v>39</v>
      </c>
      <c r="F111" s="62"/>
      <c r="G111" s="61" t="s">
        <v>39</v>
      </c>
      <c r="H111" s="62"/>
      <c r="I111" s="63">
        <v>1.0</v>
      </c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58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64" t="s">
        <v>37</v>
      </c>
      <c r="B113" s="64" t="s">
        <v>38</v>
      </c>
      <c r="C113" s="64" t="s">
        <v>37</v>
      </c>
      <c r="D113" s="64" t="s">
        <v>38</v>
      </c>
      <c r="E113" s="64" t="s">
        <v>37</v>
      </c>
      <c r="F113" s="64" t="s">
        <v>38</v>
      </c>
      <c r="G113" s="64" t="s">
        <v>37</v>
      </c>
      <c r="H113" s="64" t="s">
        <v>38</v>
      </c>
      <c r="I113" s="65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52">
        <v>46160.0</v>
      </c>
      <c r="B114" s="74">
        <v>224500.0</v>
      </c>
      <c r="C114" s="52">
        <v>46167.0</v>
      </c>
      <c r="D114" s="74"/>
      <c r="E114" s="52">
        <v>46174.0</v>
      </c>
      <c r="F114" s="74"/>
      <c r="G114" s="52">
        <v>46181.0</v>
      </c>
      <c r="H114" s="74"/>
      <c r="I114" s="54">
        <f>B120+D120+F120+H120</f>
        <v>224500</v>
      </c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52">
        <v>46161.0</v>
      </c>
      <c r="B115" s="71"/>
      <c r="C115" s="52">
        <v>46168.0</v>
      </c>
      <c r="D115" s="53"/>
      <c r="E115" s="52">
        <v>46175.0</v>
      </c>
      <c r="F115" s="55"/>
      <c r="G115" s="52">
        <v>46182.0</v>
      </c>
      <c r="H115" s="55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52">
        <v>46162.0</v>
      </c>
      <c r="B116" s="55"/>
      <c r="C116" s="52">
        <v>46169.0</v>
      </c>
      <c r="D116" s="55"/>
      <c r="E116" s="52">
        <v>46176.0</v>
      </c>
      <c r="F116" s="55"/>
      <c r="G116" s="52">
        <v>46183.0</v>
      </c>
      <c r="H116" s="55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52">
        <v>46163.0</v>
      </c>
      <c r="B117" s="55"/>
      <c r="C117" s="52">
        <v>46170.0</v>
      </c>
      <c r="D117" s="74"/>
      <c r="E117" s="52">
        <v>46177.0</v>
      </c>
      <c r="F117" s="74"/>
      <c r="G117" s="52">
        <v>46184.0</v>
      </c>
      <c r="H117" s="74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52">
        <v>46164.0</v>
      </c>
      <c r="B118" s="55"/>
      <c r="C118" s="52">
        <v>46171.0</v>
      </c>
      <c r="D118" s="55"/>
      <c r="E118" s="52">
        <v>46178.0</v>
      </c>
      <c r="F118" s="55"/>
      <c r="G118" s="52">
        <v>46185.0</v>
      </c>
      <c r="H118" s="55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52">
        <v>46165.0</v>
      </c>
      <c r="B119" s="55"/>
      <c r="C119" s="52">
        <v>46172.0</v>
      </c>
      <c r="D119" s="55"/>
      <c r="E119" s="52">
        <v>46179.0</v>
      </c>
      <c r="F119" s="55"/>
      <c r="G119" s="52">
        <v>46186.0</v>
      </c>
      <c r="H119" s="55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58"/>
      <c r="B120" s="59">
        <f>SUM(B114:B119)</f>
        <v>224500</v>
      </c>
      <c r="C120" s="58"/>
      <c r="D120" s="59">
        <f>SUM(D114:D119)</f>
        <v>0</v>
      </c>
      <c r="E120" s="58"/>
      <c r="F120" s="59">
        <f>SUM(F114:F119)</f>
        <v>0</v>
      </c>
      <c r="G120" s="58"/>
      <c r="H120" s="59">
        <f>SUM(H114:H119)</f>
        <v>0</v>
      </c>
      <c r="I120" s="75">
        <v>11.0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61" t="s">
        <v>39</v>
      </c>
      <c r="B121" s="62"/>
      <c r="C121" s="61" t="s">
        <v>39</v>
      </c>
      <c r="D121" s="62"/>
      <c r="E121" s="61" t="s">
        <v>39</v>
      </c>
      <c r="F121" s="62"/>
      <c r="G121" s="61" t="s">
        <v>39</v>
      </c>
      <c r="H121" s="62"/>
      <c r="I121" s="63">
        <v>1.0</v>
      </c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58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</row>
  </sheetData>
  <mergeCells count="39">
    <mergeCell ref="C10:D11"/>
    <mergeCell ref="E10:F11"/>
    <mergeCell ref="I1:I12"/>
    <mergeCell ref="A7:B7"/>
    <mergeCell ref="H8:H9"/>
    <mergeCell ref="A9:B9"/>
    <mergeCell ref="C9:D9"/>
    <mergeCell ref="E9:F9"/>
    <mergeCell ref="A10:B11"/>
    <mergeCell ref="A12:D12"/>
    <mergeCell ref="G10:G11"/>
    <mergeCell ref="H10:H11"/>
    <mergeCell ref="I14:I19"/>
    <mergeCell ref="A22:I22"/>
    <mergeCell ref="I24:I29"/>
    <mergeCell ref="A32:I32"/>
    <mergeCell ref="I34:I39"/>
    <mergeCell ref="I44:I49"/>
    <mergeCell ref="I54:I59"/>
    <mergeCell ref="I64:I69"/>
    <mergeCell ref="I74:I79"/>
    <mergeCell ref="I84:I89"/>
    <mergeCell ref="I94:I99"/>
    <mergeCell ref="I104:I109"/>
    <mergeCell ref="I114:I119"/>
    <mergeCell ref="A62:I62"/>
    <mergeCell ref="A72:I72"/>
    <mergeCell ref="A82:I82"/>
    <mergeCell ref="A92:I92"/>
    <mergeCell ref="A102:I102"/>
    <mergeCell ref="A112:I112"/>
    <mergeCell ref="A122:I122"/>
    <mergeCell ref="A42:I42"/>
    <mergeCell ref="B44:B49"/>
    <mergeCell ref="D44:D49"/>
    <mergeCell ref="F44:F49"/>
    <mergeCell ref="H44:H49"/>
    <mergeCell ref="A52:I52"/>
    <mergeCell ref="B54:B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9.75"/>
    <col customWidth="1" min="3" max="3" width="23.38"/>
    <col customWidth="1" min="4" max="4" width="24.88"/>
    <col customWidth="1" min="5" max="5" width="22.25"/>
    <col customWidth="1" min="6" max="6" width="26.25"/>
  </cols>
  <sheetData>
    <row r="1">
      <c r="A1" s="77" t="s">
        <v>36</v>
      </c>
      <c r="B1" s="78"/>
      <c r="C1" s="78"/>
      <c r="D1" s="78"/>
      <c r="E1" s="78"/>
      <c r="F1" s="79"/>
    </row>
    <row r="2">
      <c r="A2" s="80"/>
      <c r="B2" s="9"/>
      <c r="C2" s="9"/>
      <c r="D2" s="9"/>
      <c r="E2" s="9"/>
      <c r="F2" s="81"/>
    </row>
    <row r="3">
      <c r="A3" s="82" t="s">
        <v>41</v>
      </c>
      <c r="B3" s="83"/>
      <c r="C3" s="84" t="str">
        <f>PAGOS!A7</f>
        <v>YOBANI ANDRES GARZON MARTINEZ</v>
      </c>
      <c r="D3" s="85"/>
      <c r="E3" s="85"/>
      <c r="F3" s="86"/>
    </row>
    <row r="4">
      <c r="A4" s="87" t="s">
        <v>42</v>
      </c>
      <c r="B4" s="88">
        <f>PAGOS!A16</f>
        <v>45896</v>
      </c>
      <c r="C4" s="89"/>
      <c r="D4" s="90"/>
      <c r="E4" s="90"/>
      <c r="F4" s="91"/>
    </row>
    <row r="5">
      <c r="A5" s="87" t="s">
        <v>43</v>
      </c>
      <c r="B5" s="92">
        <f>PAGOS!G2</f>
        <v>6800000</v>
      </c>
      <c r="C5" s="93" t="s">
        <v>44</v>
      </c>
    </row>
    <row r="6">
      <c r="A6" s="87" t="s">
        <v>45</v>
      </c>
      <c r="B6" s="92">
        <f>PAGOS!H2</f>
        <v>800000</v>
      </c>
    </row>
    <row r="7">
      <c r="A7" s="94" t="s">
        <v>46</v>
      </c>
      <c r="B7" s="92">
        <f>PAGOS!A5</f>
        <v>6000000</v>
      </c>
    </row>
    <row r="8">
      <c r="A8" s="95" t="s">
        <v>47</v>
      </c>
      <c r="B8" s="96">
        <f>PAGOS!B5</f>
        <v>10200000</v>
      </c>
    </row>
    <row r="9">
      <c r="A9" s="87" t="s">
        <v>48</v>
      </c>
      <c r="B9" s="96">
        <f>PAGOS!C5</f>
        <v>16200000</v>
      </c>
    </row>
    <row r="10">
      <c r="A10" s="97" t="s">
        <v>26</v>
      </c>
      <c r="B10" s="98">
        <f>PAGOS!F7</f>
        <v>380000</v>
      </c>
      <c r="C10" s="99" t="str">
        <f>PAGOS!G4</f>
        <v>SEMANAL</v>
      </c>
    </row>
    <row r="11">
      <c r="A11" s="100" t="s">
        <v>49</v>
      </c>
      <c r="B11" s="98"/>
    </row>
    <row r="12">
      <c r="A12" s="97" t="s">
        <v>27</v>
      </c>
      <c r="B12" s="98">
        <f>PAGOS!G7</f>
        <v>280000</v>
      </c>
    </row>
    <row r="13">
      <c r="A13" s="101" t="s">
        <v>50</v>
      </c>
      <c r="B13" s="102">
        <v>25000.0</v>
      </c>
      <c r="C13" s="103">
        <f>PAGOS!G5</f>
        <v>225000</v>
      </c>
    </row>
    <row r="14">
      <c r="A14" s="101" t="s">
        <v>51</v>
      </c>
      <c r="B14" s="104">
        <f>B13*B15</f>
        <v>450000</v>
      </c>
    </row>
    <row r="15">
      <c r="A15" s="105" t="s">
        <v>52</v>
      </c>
      <c r="B15" s="106">
        <f>PAGOS!D5</f>
        <v>18</v>
      </c>
    </row>
    <row r="16">
      <c r="A16" s="107" t="s">
        <v>53</v>
      </c>
      <c r="B16" s="108">
        <f>PAGOS!C5</f>
        <v>16200000</v>
      </c>
    </row>
    <row r="17">
      <c r="A17" s="109" t="s">
        <v>54</v>
      </c>
      <c r="B17" s="110" t="s">
        <v>55</v>
      </c>
      <c r="C17" s="110" t="s">
        <v>56</v>
      </c>
      <c r="D17" s="110" t="s">
        <v>57</v>
      </c>
      <c r="E17" s="110" t="s">
        <v>58</v>
      </c>
      <c r="F17" s="30"/>
    </row>
    <row r="18">
      <c r="A18" s="111">
        <f>PAGOS!A10</f>
        <v>9159000</v>
      </c>
      <c r="B18" s="112">
        <f>PAGOS!C10</f>
        <v>7041000</v>
      </c>
      <c r="C18" s="113"/>
      <c r="D18" s="114"/>
      <c r="E18" s="115"/>
      <c r="F18" s="116"/>
    </row>
    <row r="19">
      <c r="C19" s="117"/>
      <c r="D19" s="117"/>
      <c r="E19" s="117"/>
      <c r="F19" s="117"/>
    </row>
    <row r="20">
      <c r="C20" s="117"/>
      <c r="D20" s="117"/>
      <c r="E20" s="117"/>
      <c r="F20" s="117"/>
    </row>
    <row r="21">
      <c r="C21" s="117"/>
      <c r="D21" s="117"/>
      <c r="E21" s="117"/>
      <c r="F21" s="117"/>
    </row>
    <row r="22">
      <c r="C22" s="117"/>
      <c r="D22" s="117"/>
      <c r="E22" s="117"/>
      <c r="F22" s="117"/>
    </row>
    <row r="23">
      <c r="C23" s="117"/>
      <c r="D23" s="117"/>
      <c r="E23" s="117"/>
      <c r="F23" s="117"/>
    </row>
    <row r="24">
      <c r="C24" s="117"/>
      <c r="D24" s="117"/>
      <c r="E24" s="117"/>
      <c r="F24" s="117"/>
    </row>
    <row r="25">
      <c r="C25" s="117"/>
      <c r="D25" s="117"/>
      <c r="E25" s="117"/>
      <c r="F25" s="117"/>
    </row>
    <row r="26">
      <c r="C26" s="117"/>
      <c r="D26" s="117"/>
      <c r="E26" s="117"/>
      <c r="F26" s="117"/>
    </row>
    <row r="27">
      <c r="C27" s="117"/>
      <c r="D27" s="117"/>
      <c r="E27" s="117"/>
      <c r="F27" s="117"/>
    </row>
    <row r="28">
      <c r="C28" s="117"/>
      <c r="D28" s="117"/>
      <c r="E28" s="117"/>
      <c r="F28" s="117"/>
    </row>
  </sheetData>
  <mergeCells count="6">
    <mergeCell ref="A1:F1"/>
    <mergeCell ref="A3:B3"/>
    <mergeCell ref="C3:F4"/>
    <mergeCell ref="C5:F9"/>
    <mergeCell ref="C10:F12"/>
    <mergeCell ref="C13:F16"/>
  </mergeCells>
  <drawing r:id="rId1"/>
</worksheet>
</file>