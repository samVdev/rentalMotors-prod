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<sst xmlns="http://schemas.openxmlformats.org/spreadsheetml/2006/main" count="75" uniqueCount="40">
  <si>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</si>
  <si>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</si>
  <si>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</si>
  <si>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</si>
  <si>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</si>
  <si>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</si>
  <si>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</si>
  <si>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</si>
  <si>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</si>
  <si>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SPECIAL 110</t>
  </si>
  <si>
    <t>AKT</t>
  </si>
  <si>
    <t>DQR70I</t>
  </si>
  <si>
    <t>69B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</si>
  <si>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</si>
  <si>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</si>
  <si>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</si>
  <si>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</si>
  <si>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</si>
  <si>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</si>
  <si>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</si>
  <si>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</si>
  <si>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</si>
  <si>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</si>
  <si>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</si>
  <si>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</si>
  <si>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</si>
  <si>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</si>
  <si>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</si>
  <si>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YAJAIRA</t>
  </si>
  <si>
    <t>ROMERO SUAREZ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</si>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</sst>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[$$]#,##0"/>
    <numFmt numFmtId="167" formatCode="dd/mm/yyyy"/>
    <numFmt numFmtId="168" formatCode="&quot;$&quot;#,##0.00"/>
  </numFmts>
  <fonts count="28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4.0"/>
      <color rgb="FF000000"/>
      <name val="Nunito"/>
    </font>
    <font>
      <b/>
      <sz val="14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sz val="11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2.0"/>
      <color rgb="FFFFFFFF"/>
      <name val="Arial"/>
    </font>
    <font>
      <color rgb="FF46BDC6"/>
      <name val="Arial"/>
    </font>
    <font>
      <color rgb="FF000000"/>
      <name val="Arial"/>
    </font>
    <font>
      <sz val="18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6" xfId="0" applyAlignment="1" applyBorder="1" applyFont="1" applyNumberFormat="1">
      <alignment horizontal="center" vertical="bottom"/>
    </xf>
    <xf borderId="1" fillId="3" fontId="7" numFmtId="166" xfId="0" applyAlignment="1" applyBorder="1" applyFont="1" applyNumberFormat="1">
      <alignment horizontal="center" readingOrder="0" vertical="bottom"/>
    </xf>
    <xf borderId="2" fillId="6" fontId="7" numFmtId="166" xfId="0" applyAlignment="1" applyBorder="1" applyFill="1" applyFont="1" applyNumberFormat="1">
      <alignment horizontal="center" vertical="bottom"/>
    </xf>
    <xf borderId="2" fillId="3" fontId="8" numFmtId="166" xfId="0" applyAlignment="1" applyBorder="1" applyFont="1" applyNumberFormat="1">
      <alignment horizontal="center" vertical="bottom"/>
    </xf>
    <xf borderId="2" fillId="3" fontId="7" numFmtId="166" xfId="0" applyAlignment="1" applyBorder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2" numFmtId="0" xfId="0" applyAlignment="1" applyFont="1">
      <alignment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5" numFmtId="0" xfId="0" applyAlignment="1" applyFill="1" applyFont="1">
      <alignment horizontal="center" readingOrder="0" vertical="bottom"/>
    </xf>
    <xf borderId="0" fillId="9" fontId="12" numFmtId="3" xfId="0" applyAlignment="1" applyFont="1" applyNumberFormat="1">
      <alignment horizontal="center" readingOrder="0" vertical="bottom"/>
    </xf>
    <xf borderId="0" fillId="9" fontId="5" numFmtId="0" xfId="0" applyAlignment="1" applyFont="1">
      <alignment horizontal="center" vertical="bottom"/>
    </xf>
    <xf borderId="0" fillId="9" fontId="13" numFmtId="0" xfId="0" applyAlignment="1" applyFont="1">
      <alignment horizontal="center" readingOrder="0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4" numFmtId="3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15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0" fontId="2" numFmtId="167" xfId="0" applyAlignment="1" applyFont="1" applyNumberFormat="1">
      <alignment vertical="bottom"/>
    </xf>
    <xf borderId="0" fillId="16" fontId="15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7" fontId="21" numFmtId="167" xfId="0" applyAlignment="1" applyFill="1" applyFont="1" applyNumberFormat="1">
      <alignment horizontal="center" readingOrder="0" vertical="bottom"/>
    </xf>
    <xf borderId="0" fillId="18" fontId="22" numFmtId="164" xfId="0" applyAlignment="1" applyFill="1" applyFont="1" applyNumberFormat="1">
      <alignment horizontal="center" readingOrder="0" textRotation="45" vertical="center"/>
    </xf>
    <xf borderId="0" fillId="11" fontId="23" numFmtId="164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4" fontId="24" numFmtId="168" xfId="0" applyAlignment="1" applyFont="1" applyNumberFormat="1">
      <alignment horizontal="center" vertical="bottom"/>
    </xf>
    <xf borderId="0" fillId="4" fontId="24" numFmtId="164" xfId="0" applyAlignment="1" applyFont="1" applyNumberFormat="1">
      <alignment horizontal="center" vertical="bottom"/>
    </xf>
    <xf borderId="0" fillId="4" fontId="24" numFmtId="0" xfId="0" applyAlignment="1" applyFont="1">
      <alignment horizontal="center" readingOrder="0" vertical="bottom"/>
    </xf>
    <xf borderId="0" fillId="11" fontId="2" numFmtId="0" xfId="0" applyAlignment="1" applyFont="1">
      <alignment horizontal="center" vertical="bottom"/>
    </xf>
    <xf borderId="0" fillId="19" fontId="2" numFmtId="0" xfId="0" applyAlignment="1" applyFill="1" applyFont="1">
      <alignment vertical="bottom"/>
    </xf>
    <xf borderId="0" fillId="11" fontId="25" numFmtId="0" xfId="0" applyAlignment="1" applyFont="1">
      <alignment readingOrder="0" vertical="bottom"/>
    </xf>
    <xf borderId="0" fillId="4" fontId="24" numFmtId="0" xfId="0" applyAlignment="1" applyFont="1">
      <alignment horizontal="center" vertical="bottom"/>
    </xf>
    <xf borderId="0" fillId="4" fontId="26" numFmtId="0" xfId="0" applyAlignment="1" applyFont="1">
      <alignment vertical="bottom"/>
    </xf>
    <xf borderId="0" fillId="18" fontId="27" numFmtId="164" xfId="0" applyAlignment="1" applyFont="1" applyNumberFormat="1">
      <alignment horizontal="center" readingOrder="0" textRotation="45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1552575</xdr:colOff>
      <xdr:row>0</xdr:row>
      <xdr:rowOff>0</xdr:rowOff>
    </xdr:from>
    <xdr:ext cx="1562100" cy="2809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7.38"/>
    <col customWidth="1" min="2" max="2" width="20.38"/>
    <col customWidth="1" min="3" max="3" width="15.5"/>
    <col customWidth="1" min="4" max="4" width="16.88"/>
    <col customWidth="1" min="5" max="5" width="18.63"/>
    <col customWidth="1" min="6" max="6" width="18.5"/>
    <col customWidth="1" min="7" max="7" width="17.25"/>
    <col customWidth="1" min="8" max="8" width="20.25"/>
    <col customWidth="1" min="9" max="9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5790000.0</v>
      </c>
      <c r="H2" s="10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4790000</v>
      </c>
      <c r="B5" s="15">
        <v>2.5923</v>
      </c>
      <c r="C5" s="14">
        <f>A5*B5</f>
        <v>12417117</v>
      </c>
      <c r="D5" s="15">
        <v>12.0</v>
      </c>
      <c r="E5" s="16">
        <f>C5/D5</f>
        <v>1034759.75</v>
      </c>
      <c r="F5" s="17">
        <f>E5/2</f>
        <v>517379.875</v>
      </c>
      <c r="G5" s="18">
        <f>E5/4</f>
        <v>258689.9375</v>
      </c>
      <c r="H5" s="18">
        <f>G5/6</f>
        <v>43114.98958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9" t="s">
        <v>21</v>
      </c>
      <c r="B6" s="20"/>
      <c r="C6" s="19" t="s">
        <v>22</v>
      </c>
      <c r="D6" s="19" t="s">
        <v>23</v>
      </c>
      <c r="E6" s="19" t="s">
        <v>24</v>
      </c>
      <c r="F6" s="21" t="s">
        <v>25</v>
      </c>
      <c r="G6" s="22" t="s">
        <v>26</v>
      </c>
      <c r="H6" s="22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28</v>
      </c>
      <c r="B7" s="23" t="s">
        <v>29</v>
      </c>
      <c r="C7" s="24">
        <v>4.552421E7</v>
      </c>
      <c r="D7" s="25" t="s">
        <v>30</v>
      </c>
      <c r="E7" s="23">
        <v>3.024493874E9</v>
      </c>
      <c r="F7" s="26" t="s">
        <v>31</v>
      </c>
      <c r="G7" s="26" t="s">
        <v>31</v>
      </c>
      <c r="H7" s="2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8"/>
      <c r="B8" s="28"/>
      <c r="C8" s="28"/>
      <c r="D8" s="28"/>
      <c r="E8" s="29"/>
      <c r="F8" s="30"/>
      <c r="G8" s="30"/>
      <c r="H8" s="31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2" t="s">
        <v>32</v>
      </c>
      <c r="C9" s="33" t="s">
        <v>33</v>
      </c>
      <c r="E9" s="33" t="s">
        <v>34</v>
      </c>
      <c r="G9" s="33" t="s">
        <v>35</v>
      </c>
      <c r="H9" s="3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>
        <f>I16+I26</f>
        <v>2034000</v>
      </c>
      <c r="C10" s="36">
        <f>C5-A10</f>
        <v>10383117</v>
      </c>
      <c r="E10" s="37">
        <f>C10+G10</f>
        <v>10383117</v>
      </c>
      <c r="G10" s="38"/>
      <c r="H10" s="39">
        <f>I23+I33+I43</f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1" t="s">
        <v>36</v>
      </c>
      <c r="E12" s="42"/>
      <c r="F12" s="43"/>
      <c r="G12" s="43"/>
      <c r="H12" s="4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45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J14" s="46"/>
      <c r="K14" s="46"/>
      <c r="L14" s="46"/>
      <c r="M14" s="46"/>
      <c r="N14" s="46"/>
      <c r="O14" s="46"/>
      <c r="P14" s="46"/>
      <c r="Q14" s="46"/>
      <c r="R14" s="46"/>
      <c r="S14" s="3"/>
      <c r="T14" s="3"/>
      <c r="U14" s="3"/>
      <c r="V14" s="3"/>
      <c r="W14" s="3"/>
      <c r="X14" s="3"/>
      <c r="Y14" s="3"/>
      <c r="Z14" s="3"/>
    </row>
    <row r="15">
      <c r="A15" s="47" t="s">
        <v>37</v>
      </c>
      <c r="B15" s="47" t="s">
        <v>37</v>
      </c>
      <c r="C15" s="47" t="s">
        <v>37</v>
      </c>
      <c r="D15" s="47" t="s">
        <v>37</v>
      </c>
      <c r="E15" s="47" t="s">
        <v>38</v>
      </c>
      <c r="F15" s="47" t="s">
        <v>38</v>
      </c>
      <c r="G15" s="47" t="s">
        <v>38</v>
      </c>
      <c r="H15" s="47" t="s">
        <v>38</v>
      </c>
      <c r="I15" s="4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9"/>
      <c r="B16" s="49">
        <v>46125.0</v>
      </c>
      <c r="C16" s="49">
        <v>46132.0</v>
      </c>
      <c r="D16" s="49">
        <v>46139.0</v>
      </c>
      <c r="E16" s="50">
        <v>1000000.0</v>
      </c>
      <c r="I16" s="51">
        <f>E22</f>
        <v>1000000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9"/>
      <c r="B17" s="49">
        <v>46126.0</v>
      </c>
      <c r="C17" s="49">
        <v>46133.0</v>
      </c>
      <c r="D17" s="49">
        <v>46140.0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9"/>
      <c r="B18" s="49">
        <v>46127.0</v>
      </c>
      <c r="C18" s="49">
        <v>46134.0</v>
      </c>
      <c r="D18" s="49">
        <v>46141.0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9">
        <v>46121.0</v>
      </c>
      <c r="B19" s="49">
        <v>46128.0</v>
      </c>
      <c r="C19" s="49">
        <v>46135.0</v>
      </c>
      <c r="D19" s="49">
        <v>46142.0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9">
        <v>46122.0</v>
      </c>
      <c r="B20" s="49">
        <v>46129.0</v>
      </c>
      <c r="C20" s="49">
        <v>46136.0</v>
      </c>
      <c r="D20" s="49">
        <v>46143.0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9">
        <v>46123.0</v>
      </c>
      <c r="B21" s="49">
        <v>46130.0</v>
      </c>
      <c r="C21" s="49">
        <v>46137.0</v>
      </c>
      <c r="D21" s="49">
        <v>46144.0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2"/>
      <c r="C22" s="53"/>
      <c r="D22" s="52"/>
      <c r="E22" s="52">
        <f>SUM(E16:F21)</f>
        <v>1000000</v>
      </c>
      <c r="F22" s="54">
        <f>SUM(F16:F21)</f>
        <v>0</v>
      </c>
      <c r="G22" s="11"/>
      <c r="H22" s="52"/>
      <c r="I22" s="55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6" t="s">
        <v>39</v>
      </c>
      <c r="B23" s="57"/>
      <c r="C23" s="56" t="s">
        <v>39</v>
      </c>
      <c r="D23" s="57"/>
      <c r="E23" s="56" t="s">
        <v>39</v>
      </c>
      <c r="F23" s="57"/>
      <c r="G23" s="56" t="s">
        <v>39</v>
      </c>
      <c r="H23" s="57"/>
      <c r="I23" s="58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7" t="s">
        <v>37</v>
      </c>
      <c r="B25" s="47" t="s">
        <v>37</v>
      </c>
      <c r="C25" s="47" t="s">
        <v>37</v>
      </c>
      <c r="D25" s="47" t="s">
        <v>37</v>
      </c>
      <c r="E25" s="47" t="s">
        <v>38</v>
      </c>
      <c r="F25" s="47" t="s">
        <v>38</v>
      </c>
      <c r="G25" s="47" t="s">
        <v>38</v>
      </c>
      <c r="H25" s="47" t="s">
        <v>38</v>
      </c>
      <c r="I25" s="48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9">
        <v>46146.0</v>
      </c>
      <c r="B26" s="49">
        <v>46153.0</v>
      </c>
      <c r="C26" s="49">
        <v>46160.0</v>
      </c>
      <c r="D26" s="49">
        <v>46167.0</v>
      </c>
      <c r="E26" s="50">
        <v>1034000.0</v>
      </c>
      <c r="I26" s="51">
        <f>E32</f>
        <v>1034000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>
        <v>46147.0</v>
      </c>
      <c r="B27" s="49">
        <v>46154.0</v>
      </c>
      <c r="C27" s="49">
        <v>46161.0</v>
      </c>
      <c r="D27" s="49">
        <v>46168.0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9">
        <v>46148.0</v>
      </c>
      <c r="B28" s="49">
        <v>46155.0</v>
      </c>
      <c r="C28" s="49">
        <v>46162.0</v>
      </c>
      <c r="D28" s="49">
        <v>46169.0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9">
        <v>46149.0</v>
      </c>
      <c r="B29" s="49">
        <v>46156.0</v>
      </c>
      <c r="C29" s="49">
        <v>46163.0</v>
      </c>
      <c r="D29" s="49">
        <v>46170.0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9">
        <v>46150.0</v>
      </c>
      <c r="B30" s="49">
        <v>46157.0</v>
      </c>
      <c r="C30" s="49">
        <v>46164.0</v>
      </c>
      <c r="D30" s="49">
        <v>46171.0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9">
        <v>46151.0</v>
      </c>
      <c r="B31" s="49">
        <v>46158.0</v>
      </c>
      <c r="C31" s="49">
        <v>46165.0</v>
      </c>
      <c r="D31" s="49">
        <v>46172.0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2"/>
      <c r="C32" s="53"/>
      <c r="D32" s="52"/>
      <c r="E32" s="52">
        <f>SUM(E26:F31)</f>
        <v>1034000</v>
      </c>
      <c r="F32" s="54">
        <f>SUM(F26:F31)</f>
        <v>0</v>
      </c>
      <c r="G32" s="11"/>
      <c r="H32" s="52"/>
      <c r="I32" s="59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6" t="s">
        <v>39</v>
      </c>
      <c r="B33" s="57"/>
      <c r="C33" s="56" t="s">
        <v>39</v>
      </c>
      <c r="D33" s="57"/>
      <c r="E33" s="56" t="s">
        <v>39</v>
      </c>
      <c r="F33" s="57"/>
      <c r="G33" s="56" t="s">
        <v>39</v>
      </c>
      <c r="H33" s="57"/>
      <c r="I33" s="58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7" t="s">
        <v>37</v>
      </c>
      <c r="B35" s="47" t="s">
        <v>37</v>
      </c>
      <c r="C35" s="47" t="s">
        <v>37</v>
      </c>
      <c r="D35" s="47" t="s">
        <v>37</v>
      </c>
      <c r="E35" s="47" t="s">
        <v>38</v>
      </c>
      <c r="F35" s="47" t="s">
        <v>38</v>
      </c>
      <c r="G35" s="47" t="s">
        <v>38</v>
      </c>
      <c r="H35" s="47" t="s">
        <v>38</v>
      </c>
      <c r="I35" s="4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9">
        <v>46174.0</v>
      </c>
      <c r="B36" s="49">
        <v>46181.0</v>
      </c>
      <c r="C36" s="49">
        <v>46188.0</v>
      </c>
      <c r="D36" s="49">
        <v>46195.0</v>
      </c>
      <c r="E36" s="61"/>
      <c r="I36" s="51">
        <f>E42</f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9">
        <v>46175.0</v>
      </c>
      <c r="B37" s="49">
        <v>46182.0</v>
      </c>
      <c r="C37" s="49">
        <v>46189.0</v>
      </c>
      <c r="D37" s="49">
        <v>46196.0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9">
        <v>46176.0</v>
      </c>
      <c r="B38" s="49">
        <v>46183.0</v>
      </c>
      <c r="C38" s="49">
        <v>46190.0</v>
      </c>
      <c r="D38" s="49">
        <v>46197.0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9">
        <v>46177.0</v>
      </c>
      <c r="B39" s="49">
        <v>46184.0</v>
      </c>
      <c r="C39" s="49">
        <v>46191.0</v>
      </c>
      <c r="D39" s="49">
        <v>46198.0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9">
        <v>46178.0</v>
      </c>
      <c r="B40" s="49">
        <v>46185.0</v>
      </c>
      <c r="C40" s="49">
        <v>46192.0</v>
      </c>
      <c r="D40" s="49">
        <v>46199.0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9">
        <v>46179.0</v>
      </c>
      <c r="B41" s="49">
        <v>46186.0</v>
      </c>
      <c r="C41" s="49">
        <v>46193.0</v>
      </c>
      <c r="D41" s="49">
        <v>46200.0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52"/>
      <c r="C42" s="53"/>
      <c r="D42" s="52"/>
      <c r="E42" s="52">
        <f>SUM(E36:F41)</f>
        <v>0</v>
      </c>
      <c r="F42" s="54">
        <f>SUM(F36:F41)</f>
        <v>0</v>
      </c>
      <c r="G42" s="11"/>
      <c r="H42" s="52"/>
      <c r="I42" s="55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6" t="s">
        <v>39</v>
      </c>
      <c r="B43" s="57"/>
      <c r="C43" s="56" t="s">
        <v>39</v>
      </c>
      <c r="D43" s="57"/>
      <c r="E43" s="56" t="s">
        <v>39</v>
      </c>
      <c r="F43" s="57"/>
      <c r="G43" s="56" t="s">
        <v>39</v>
      </c>
      <c r="H43" s="57"/>
      <c r="I43" s="58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21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4:I14"/>
    <mergeCell ref="E26:H31"/>
    <mergeCell ref="E36:H41"/>
    <mergeCell ref="I36:I41"/>
    <mergeCell ref="E10:F11"/>
    <mergeCell ref="G10:G11"/>
    <mergeCell ref="E16:H21"/>
    <mergeCell ref="I16:I21"/>
    <mergeCell ref="A24:I24"/>
    <mergeCell ref="I26:I31"/>
    <mergeCell ref="A34:I34"/>
    <mergeCell ref="A44:I44"/>
  </mergeCells>
  <drawing r:id="rId1"/>
</worksheet>
</file>