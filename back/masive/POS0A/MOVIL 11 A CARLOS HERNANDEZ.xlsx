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<sst xmlns="http://schemas.openxmlformats.org/spreadsheetml/2006/main" count="77" uniqueCount="42">
  <si>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</si>
  <si>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</si>
  <si>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</si>
  <si>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</si>
  <si>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</si>
  <si>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</si>
  <si>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</si>
  <si>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</si>
  <si>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</si>
  <si>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SBR</t>
  </si>
  <si>
    <t xml:space="preserve">BERA</t>
  </si>
  <si>
    <t xml:space="preserve">CQB14I</t>
  </si>
  <si>
    <t xml:space="preserve">MOVIL 11A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</si>
  <si>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</si>
  <si>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</si>
  <si>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</si>
  <si>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</si>
  <si>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</si>
  <si>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</si>
  <si>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</si>
  <si>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</si>
  <si>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</si>
  <si>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</si>
  <si>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</si>
  <si>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</si>
  <si>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</si>
  <si>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</si>
  <si>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</si>
  <si>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</si>
  <si>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CARLOS DANIEL</t>
  </si>
  <si>
    <t xml:space="preserve">HERNANDEZ</t>
  </si>
  <si>
    <t xml:space="preserve">PPT:6206145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</si>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</sst>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999999"/>
      </patternFill>
    </fill>
    <fill>
      <patternFill patternType="solid">
        <fgColor rgb="FFFFFFFF"/>
        <bgColor rgb="FFF2F2F2"/>
      </patternFill>
    </fill>
    <fill>
      <patternFill patternType="solid">
        <fgColor rgb="FFFF6D01"/>
        <bgColor rgb="FFFF99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93C47D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99720</xdr:colOff>
      <xdr:row>0</xdr:row>
      <xdr:rowOff>0</xdr:rowOff>
    </xdr:from>
    <xdr:to>
      <xdr:col>9</xdr:col>
      <xdr:colOff>232560</xdr:colOff>
      <xdr:row>13</xdr:row>
      <xdr:rowOff>123480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819880" y="0"/>
          <a:ext cx="1895040" cy="2723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21.88"/>
    <col collapsed="false" customWidth="true" hidden="false" outlineLevel="0" max="4" min="3" style="0" width="21.25"/>
    <col collapsed="false" customWidth="true" hidden="false" outlineLevel="0" max="5" min="5" style="0" width="21.12"/>
    <col collapsed="false" customWidth="true" hidden="false" outlineLevel="0" max="6" min="6" style="0" width="19.38"/>
    <col collapsed="false" customWidth="true" hidden="false" outlineLevel="0" max="7" min="7" style="0" width="20.38"/>
    <col collapsed="false" customWidth="true" hidden="false" outlineLevel="0" max="8" min="8" style="0" width="20.88"/>
    <col collapsed="false" customWidth="true" hidden="false" outlineLevel="0" max="9" min="9" style="0" width="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2026</v>
      </c>
      <c r="D2" s="4" t="s">
        <v>10</v>
      </c>
      <c r="E2" s="4" t="s">
        <v>11</v>
      </c>
      <c r="F2" s="7" t="s">
        <v>12</v>
      </c>
      <c r="G2" s="8" t="n">
        <v>6000000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8" t="n">
        <f aca="false">G2-H2</f>
        <v>5200000</v>
      </c>
      <c r="B5" s="8" t="n">
        <v>2.7404</v>
      </c>
      <c r="C5" s="12" t="n">
        <f aca="false">A5*B5</f>
        <v>14250080</v>
      </c>
      <c r="D5" s="6" t="n">
        <v>18</v>
      </c>
      <c r="E5" s="13" t="n">
        <f aca="false">C5/D5</f>
        <v>791671.1111</v>
      </c>
      <c r="F5" s="14" t="n">
        <f aca="false">E5/2</f>
        <v>395835.5556</v>
      </c>
      <c r="G5" s="15" t="n">
        <f aca="false">E5/4</f>
        <v>197917.7778</v>
      </c>
      <c r="H5" s="13" t="n">
        <f aca="false">G5/6</f>
        <v>32986.2963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19" t="s">
        <v>29</v>
      </c>
      <c r="B7" s="20" t="s">
        <v>30</v>
      </c>
      <c r="C7" s="21" t="s">
        <v>31</v>
      </c>
      <c r="D7" s="22" t="s">
        <v>32</v>
      </c>
      <c r="E7" s="23" t="n">
        <v>3243719481</v>
      </c>
      <c r="F7" s="24" t="s">
        <v>33</v>
      </c>
      <c r="G7" s="24" t="s">
        <v>33</v>
      </c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9"/>
      <c r="H8" s="30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34</v>
      </c>
      <c r="B9" s="31"/>
      <c r="C9" s="32" t="s">
        <v>35</v>
      </c>
      <c r="D9" s="32"/>
      <c r="E9" s="32" t="s">
        <v>36</v>
      </c>
      <c r="F9" s="32"/>
      <c r="G9" s="33" t="s">
        <v>37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I16+I26+I35+I45+I54</f>
        <v>3366000</v>
      </c>
      <c r="B10" s="34"/>
      <c r="C10" s="35" t="n">
        <f aca="false">C5-A10</f>
        <v>10884080</v>
      </c>
      <c r="D10" s="35"/>
      <c r="E10" s="36" t="n">
        <f aca="false">C10+G10</f>
        <v>10884080</v>
      </c>
      <c r="F10" s="36"/>
      <c r="G10" s="37"/>
      <c r="H10" s="38" t="n">
        <f aca="false">I23+I33+I42</f>
        <v>2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38</v>
      </c>
      <c r="B12" s="39"/>
      <c r="C12" s="39"/>
      <c r="D12" s="39"/>
      <c r="E12" s="40"/>
      <c r="F12" s="41"/>
      <c r="G12" s="41"/>
      <c r="H12" s="4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3"/>
      <c r="B13" s="43"/>
      <c r="C13" s="43"/>
      <c r="D13" s="43"/>
      <c r="E13" s="43"/>
      <c r="F13" s="43"/>
      <c r="G13" s="43"/>
      <c r="H13" s="43"/>
      <c r="I13" s="43"/>
    </row>
    <row r="14" customFormat="false" ht="15.75" hidden="false" customHeight="true" outlineLevel="0" collapsed="false">
      <c r="A14" s="43"/>
      <c r="B14" s="43"/>
      <c r="C14" s="43"/>
      <c r="D14" s="43"/>
      <c r="E14" s="43"/>
      <c r="F14" s="43"/>
      <c r="G14" s="43"/>
      <c r="H14" s="43"/>
      <c r="I14" s="43"/>
    </row>
    <row r="15" customFormat="false" ht="15.75" hidden="false" customHeight="false" outlineLevel="0" collapsed="false">
      <c r="A15" s="44" t="s">
        <v>39</v>
      </c>
      <c r="B15" s="44" t="s">
        <v>40</v>
      </c>
      <c r="C15" s="44" t="s">
        <v>39</v>
      </c>
      <c r="D15" s="44" t="s">
        <v>40</v>
      </c>
      <c r="E15" s="44" t="s">
        <v>39</v>
      </c>
      <c r="F15" s="44" t="s">
        <v>40</v>
      </c>
      <c r="G15" s="44" t="s">
        <v>39</v>
      </c>
      <c r="H15" s="44" t="s">
        <v>40</v>
      </c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6" t="n">
        <v>46097</v>
      </c>
      <c r="B16" s="47"/>
      <c r="C16" s="46" t="n">
        <v>46104</v>
      </c>
      <c r="D16" s="47"/>
      <c r="E16" s="46" t="n">
        <v>46111</v>
      </c>
      <c r="F16" s="47"/>
      <c r="G16" s="46" t="n">
        <v>46118</v>
      </c>
      <c r="H16" s="47"/>
      <c r="I16" s="48" t="n">
        <f aca="false">B22+D22+F22+H22</f>
        <v>792000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6" t="n">
        <v>46098</v>
      </c>
      <c r="B17" s="47"/>
      <c r="C17" s="46" t="n">
        <v>46105</v>
      </c>
      <c r="D17" s="47"/>
      <c r="E17" s="46" t="n">
        <v>46112</v>
      </c>
      <c r="F17" s="47"/>
      <c r="G17" s="46" t="n">
        <v>46119</v>
      </c>
      <c r="H17" s="47"/>
      <c r="I17" s="4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6" t="n">
        <v>46099</v>
      </c>
      <c r="B18" s="49" t="n">
        <v>198000</v>
      </c>
      <c r="C18" s="46" t="n">
        <v>46106</v>
      </c>
      <c r="D18" s="49" t="n">
        <v>198000</v>
      </c>
      <c r="E18" s="46" t="n">
        <v>46113</v>
      </c>
      <c r="F18" s="49" t="n">
        <v>198000</v>
      </c>
      <c r="G18" s="46" t="n">
        <v>46120</v>
      </c>
      <c r="H18" s="49" t="n">
        <v>198000</v>
      </c>
      <c r="I18" s="4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6" t="n">
        <v>46100</v>
      </c>
      <c r="B19" s="47"/>
      <c r="C19" s="46" t="n">
        <v>46107</v>
      </c>
      <c r="D19" s="47"/>
      <c r="E19" s="46" t="n">
        <v>46114</v>
      </c>
      <c r="F19" s="47"/>
      <c r="G19" s="46" t="n">
        <v>46121</v>
      </c>
      <c r="H19" s="47"/>
      <c r="I19" s="4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6" t="n">
        <v>46101</v>
      </c>
      <c r="B20" s="47"/>
      <c r="C20" s="46" t="n">
        <v>46108</v>
      </c>
      <c r="D20" s="47"/>
      <c r="E20" s="46" t="n">
        <v>46115</v>
      </c>
      <c r="F20" s="47"/>
      <c r="G20" s="46" t="n">
        <v>46122</v>
      </c>
      <c r="H20" s="47"/>
      <c r="I20" s="4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6" t="n">
        <v>46102</v>
      </c>
      <c r="B21" s="47"/>
      <c r="C21" s="46" t="n">
        <v>46109</v>
      </c>
      <c r="D21" s="47"/>
      <c r="E21" s="46" t="n">
        <v>46116</v>
      </c>
      <c r="F21" s="47"/>
      <c r="G21" s="46" t="n">
        <v>46123</v>
      </c>
      <c r="H21" s="47"/>
      <c r="I21" s="4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9"/>
      <c r="B22" s="50" t="n">
        <f aca="false">SUM(B18:B21)</f>
        <v>198000</v>
      </c>
      <c r="C22" s="9"/>
      <c r="D22" s="50" t="n">
        <f aca="false">SUM(D16:D21)</f>
        <v>198000</v>
      </c>
      <c r="E22" s="9"/>
      <c r="F22" s="50" t="n">
        <f aca="false">SUM(F16:F21)</f>
        <v>198000</v>
      </c>
      <c r="G22" s="9"/>
      <c r="H22" s="50" t="n">
        <f aca="false">SUM(H16:H21)</f>
        <v>198000</v>
      </c>
      <c r="I22" s="51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2" t="s">
        <v>41</v>
      </c>
      <c r="B23" s="53"/>
      <c r="C23" s="52" t="s">
        <v>41</v>
      </c>
      <c r="D23" s="53"/>
      <c r="E23" s="52" t="s">
        <v>41</v>
      </c>
      <c r="F23" s="53"/>
      <c r="G23" s="52" t="s">
        <v>41</v>
      </c>
      <c r="H23" s="53"/>
      <c r="I23" s="54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4" t="s">
        <v>39</v>
      </c>
      <c r="B25" s="44" t="s">
        <v>40</v>
      </c>
      <c r="C25" s="44" t="s">
        <v>39</v>
      </c>
      <c r="D25" s="44" t="s">
        <v>40</v>
      </c>
      <c r="E25" s="44" t="s">
        <v>39</v>
      </c>
      <c r="F25" s="44" t="s">
        <v>40</v>
      </c>
      <c r="G25" s="44" t="s">
        <v>39</v>
      </c>
      <c r="H25" s="44" t="s">
        <v>40</v>
      </c>
      <c r="I25" s="4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customFormat="false" ht="15.75" hidden="false" customHeight="false" outlineLevel="0" collapsed="false">
      <c r="A26" s="46" t="n">
        <v>46125</v>
      </c>
      <c r="B26" s="49" t="n">
        <v>198000</v>
      </c>
      <c r="C26" s="46" t="n">
        <v>46132</v>
      </c>
      <c r="D26" s="49" t="n">
        <v>198000</v>
      </c>
      <c r="E26" s="46" t="n">
        <v>46139</v>
      </c>
      <c r="F26" s="49" t="n">
        <v>198000</v>
      </c>
      <c r="G26" s="46" t="n">
        <v>46146</v>
      </c>
      <c r="H26" s="49" t="n">
        <v>198000</v>
      </c>
      <c r="I26" s="48" t="n">
        <f aca="false">B32+D32+F32+H32</f>
        <v>792000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customFormat="false" ht="15.75" hidden="false" customHeight="false" outlineLevel="0" collapsed="false">
      <c r="A27" s="46" t="n">
        <v>46126</v>
      </c>
      <c r="B27" s="47"/>
      <c r="C27" s="46" t="n">
        <v>46133</v>
      </c>
      <c r="D27" s="47"/>
      <c r="E27" s="46" t="n">
        <v>46140</v>
      </c>
      <c r="F27" s="47"/>
      <c r="G27" s="46" t="n">
        <v>46147</v>
      </c>
      <c r="H27" s="47"/>
      <c r="I27" s="48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customFormat="false" ht="15.75" hidden="false" customHeight="false" outlineLevel="0" collapsed="false">
      <c r="A28" s="46" t="n">
        <v>46127</v>
      </c>
      <c r="B28" s="47"/>
      <c r="C28" s="46" t="n">
        <v>46134</v>
      </c>
      <c r="D28" s="47"/>
      <c r="E28" s="46" t="n">
        <v>46141</v>
      </c>
      <c r="F28" s="47"/>
      <c r="G28" s="46" t="n">
        <v>46148</v>
      </c>
      <c r="H28" s="47"/>
      <c r="I28" s="48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customFormat="false" ht="15.75" hidden="false" customHeight="false" outlineLevel="0" collapsed="false">
      <c r="A29" s="46" t="n">
        <v>46128</v>
      </c>
      <c r="B29" s="47"/>
      <c r="C29" s="46" t="n">
        <v>46135</v>
      </c>
      <c r="D29" s="47"/>
      <c r="E29" s="46" t="n">
        <v>46142</v>
      </c>
      <c r="F29" s="47"/>
      <c r="G29" s="46" t="n">
        <v>46149</v>
      </c>
      <c r="H29" s="47"/>
      <c r="I29" s="48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customFormat="false" ht="15.75" hidden="false" customHeight="false" outlineLevel="0" collapsed="false">
      <c r="A30" s="46" t="n">
        <v>46129</v>
      </c>
      <c r="B30" s="47"/>
      <c r="C30" s="46" t="n">
        <v>46136</v>
      </c>
      <c r="D30" s="47"/>
      <c r="E30" s="46" t="n">
        <v>46143</v>
      </c>
      <c r="F30" s="47"/>
      <c r="G30" s="46" t="n">
        <v>46150</v>
      </c>
      <c r="H30" s="47"/>
      <c r="I30" s="48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customFormat="false" ht="15.75" hidden="false" customHeight="false" outlineLevel="0" collapsed="false">
      <c r="A31" s="46" t="n">
        <v>46130</v>
      </c>
      <c r="B31" s="47"/>
      <c r="C31" s="46" t="n">
        <v>46137</v>
      </c>
      <c r="D31" s="47"/>
      <c r="E31" s="46" t="n">
        <v>46144</v>
      </c>
      <c r="F31" s="47"/>
      <c r="G31" s="46" t="n">
        <v>46151</v>
      </c>
      <c r="H31" s="47"/>
      <c r="I31" s="48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customFormat="false" ht="15.75" hidden="false" customHeight="false" outlineLevel="0" collapsed="false">
      <c r="A32" s="9"/>
      <c r="B32" s="50" t="n">
        <f aca="false">SUM(B26:B31)</f>
        <v>198000</v>
      </c>
      <c r="C32" s="9"/>
      <c r="D32" s="50" t="n">
        <f aca="false">SUM(D26:D31)</f>
        <v>198000</v>
      </c>
      <c r="E32" s="9"/>
      <c r="F32" s="50" t="n">
        <f aca="false">SUM(F26:F31)</f>
        <v>198000</v>
      </c>
      <c r="G32" s="9"/>
      <c r="H32" s="50" t="n">
        <f aca="false">SUM(H26:H31)</f>
        <v>198000</v>
      </c>
      <c r="I32" s="51" t="n">
        <v>2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customFormat="false" ht="15.75" hidden="false" customHeight="false" outlineLevel="0" collapsed="false">
      <c r="A33" s="52" t="s">
        <v>41</v>
      </c>
      <c r="B33" s="53"/>
      <c r="C33" s="52" t="s">
        <v>41</v>
      </c>
      <c r="D33" s="53"/>
      <c r="E33" s="52" t="s">
        <v>41</v>
      </c>
      <c r="F33" s="53"/>
      <c r="G33" s="52" t="s">
        <v>41</v>
      </c>
      <c r="H33" s="53"/>
      <c r="I33" s="54" t="n">
        <v>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customFormat="false" ht="15.75" hidden="false" customHeight="false" outlineLevel="0" collapsed="false">
      <c r="A34" s="43"/>
      <c r="B34" s="43"/>
      <c r="C34" s="43"/>
      <c r="D34" s="43"/>
      <c r="E34" s="43"/>
      <c r="F34" s="43"/>
      <c r="G34" s="43"/>
      <c r="H34" s="43"/>
      <c r="I34" s="43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customFormat="false" ht="15.75" hidden="false" customHeight="false" outlineLevel="0" collapsed="false">
      <c r="A35" s="46" t="n">
        <v>46125</v>
      </c>
      <c r="B35" s="49"/>
      <c r="C35" s="46" t="n">
        <v>46132</v>
      </c>
      <c r="D35" s="49"/>
      <c r="E35" s="46" t="n">
        <v>46139</v>
      </c>
      <c r="F35" s="49"/>
      <c r="G35" s="46" t="n">
        <v>46146</v>
      </c>
      <c r="H35" s="49"/>
      <c r="I35" s="48" t="n">
        <f aca="false">B41+D41+F41+H41</f>
        <v>396000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customFormat="false" ht="15.75" hidden="false" customHeight="false" outlineLevel="0" collapsed="false">
      <c r="A36" s="46" t="n">
        <v>46126</v>
      </c>
      <c r="B36" s="49"/>
      <c r="C36" s="46" t="n">
        <v>46133</v>
      </c>
      <c r="D36" s="49"/>
      <c r="E36" s="46" t="n">
        <v>46140</v>
      </c>
      <c r="F36" s="49"/>
      <c r="G36" s="46" t="n">
        <v>46147</v>
      </c>
      <c r="H36" s="49"/>
      <c r="I36" s="48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customFormat="false" ht="15.75" hidden="false" customHeight="false" outlineLevel="0" collapsed="false">
      <c r="A37" s="46" t="n">
        <v>46127</v>
      </c>
      <c r="B37" s="49" t="n">
        <v>198000</v>
      </c>
      <c r="C37" s="46" t="n">
        <v>46134</v>
      </c>
      <c r="D37" s="49" t="n">
        <v>198000</v>
      </c>
      <c r="E37" s="46" t="n">
        <v>46141</v>
      </c>
      <c r="F37" s="49"/>
      <c r="G37" s="46" t="n">
        <v>46148</v>
      </c>
      <c r="H37" s="49"/>
      <c r="I37" s="48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customFormat="false" ht="15.75" hidden="false" customHeight="false" outlineLevel="0" collapsed="false">
      <c r="A38" s="46" t="n">
        <v>46128</v>
      </c>
      <c r="B38" s="49"/>
      <c r="C38" s="46" t="n">
        <v>46135</v>
      </c>
      <c r="D38" s="49"/>
      <c r="E38" s="46" t="n">
        <v>46142</v>
      </c>
      <c r="F38" s="49"/>
      <c r="G38" s="46" t="n">
        <v>46149</v>
      </c>
      <c r="H38" s="49"/>
      <c r="I38" s="48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customFormat="false" ht="15.75" hidden="false" customHeight="false" outlineLevel="0" collapsed="false">
      <c r="A39" s="46" t="n">
        <v>46129</v>
      </c>
      <c r="B39" s="49"/>
      <c r="C39" s="46" t="n">
        <v>46136</v>
      </c>
      <c r="D39" s="49"/>
      <c r="E39" s="46" t="n">
        <v>46143</v>
      </c>
      <c r="F39" s="49"/>
      <c r="G39" s="46" t="n">
        <v>46150</v>
      </c>
      <c r="H39" s="49"/>
      <c r="I39" s="48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customFormat="false" ht="15.75" hidden="false" customHeight="false" outlineLevel="0" collapsed="false">
      <c r="A40" s="46" t="n">
        <v>46130</v>
      </c>
      <c r="B40" s="49"/>
      <c r="C40" s="46" t="n">
        <v>46137</v>
      </c>
      <c r="D40" s="49"/>
      <c r="E40" s="46" t="n">
        <v>46144</v>
      </c>
      <c r="F40" s="49"/>
      <c r="G40" s="46" t="n">
        <v>46151</v>
      </c>
      <c r="H40" s="49"/>
      <c r="I40" s="48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customFormat="false" ht="15.75" hidden="false" customHeight="false" outlineLevel="0" collapsed="false">
      <c r="A41" s="9"/>
      <c r="B41" s="50" t="n">
        <f aca="false">SUM(B37:B40)</f>
        <v>198000</v>
      </c>
      <c r="C41" s="9"/>
      <c r="D41" s="50" t="n">
        <f aca="false">SUM(D35:D40)</f>
        <v>198000</v>
      </c>
      <c r="E41" s="9"/>
      <c r="F41" s="50" t="n">
        <f aca="false">SUM(F35:F40)</f>
        <v>0</v>
      </c>
      <c r="G41" s="9"/>
      <c r="H41" s="50" t="n">
        <f aca="false">SUM(H35:H40)</f>
        <v>0</v>
      </c>
      <c r="I41" s="51" t="n">
        <v>3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customFormat="false" ht="15.75" hidden="false" customHeight="false" outlineLevel="0" collapsed="false">
      <c r="A42" s="52" t="s">
        <v>41</v>
      </c>
      <c r="B42" s="53"/>
      <c r="C42" s="52" t="s">
        <v>41</v>
      </c>
      <c r="D42" s="53"/>
      <c r="E42" s="52" t="s">
        <v>41</v>
      </c>
      <c r="F42" s="53"/>
      <c r="G42" s="52" t="s">
        <v>41</v>
      </c>
      <c r="H42" s="53"/>
      <c r="I42" s="54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customFormat="false" ht="15.75" hidden="false" customHeight="false" outlineLevel="0" collapsed="false">
      <c r="A43" s="43"/>
      <c r="B43" s="43"/>
      <c r="C43" s="43"/>
      <c r="D43" s="43"/>
      <c r="E43" s="43"/>
      <c r="F43" s="43"/>
      <c r="G43" s="43"/>
      <c r="H43" s="43"/>
      <c r="I43" s="43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customFormat="false" ht="15.75" hidden="false" customHeight="false" outlineLevel="0" collapsed="false">
      <c r="A44" s="43"/>
      <c r="B44" s="43"/>
      <c r="C44" s="43"/>
      <c r="D44" s="43"/>
      <c r="E44" s="43"/>
      <c r="F44" s="43"/>
      <c r="G44" s="43"/>
      <c r="H44" s="43"/>
      <c r="I44" s="43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customFormat="false" ht="15.75" hidden="false" customHeight="false" outlineLevel="0" collapsed="false">
      <c r="A45" s="46" t="n">
        <v>46125</v>
      </c>
      <c r="B45" s="49"/>
      <c r="C45" s="46" t="n">
        <v>46132</v>
      </c>
      <c r="D45" s="49"/>
      <c r="E45" s="46" t="n">
        <v>46139</v>
      </c>
      <c r="F45" s="49"/>
      <c r="G45" s="46" t="n">
        <v>46146</v>
      </c>
      <c r="H45" s="49"/>
      <c r="I45" s="48" t="n">
        <f aca="false">B51+D51+F51+H51</f>
        <v>792000</v>
      </c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customFormat="false" ht="15.75" hidden="false" customHeight="false" outlineLevel="0" collapsed="false">
      <c r="A46" s="46" t="n">
        <v>46126</v>
      </c>
      <c r="B46" s="49"/>
      <c r="C46" s="46" t="n">
        <v>46133</v>
      </c>
      <c r="D46" s="49"/>
      <c r="E46" s="46" t="n">
        <v>46140</v>
      </c>
      <c r="F46" s="49"/>
      <c r="G46" s="46" t="n">
        <v>46147</v>
      </c>
      <c r="H46" s="49"/>
      <c r="I46" s="48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customFormat="false" ht="15.75" hidden="false" customHeight="false" outlineLevel="0" collapsed="false">
      <c r="A47" s="46" t="n">
        <v>46127</v>
      </c>
      <c r="B47" s="49" t="n">
        <v>198000</v>
      </c>
      <c r="C47" s="46" t="n">
        <v>46134</v>
      </c>
      <c r="D47" s="49" t="n">
        <v>198000</v>
      </c>
      <c r="E47" s="46" t="n">
        <v>46141</v>
      </c>
      <c r="F47" s="49" t="n">
        <v>198000</v>
      </c>
      <c r="G47" s="46" t="n">
        <v>46148</v>
      </c>
      <c r="H47" s="49" t="n">
        <v>198000</v>
      </c>
      <c r="I47" s="48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customFormat="false" ht="15.75" hidden="false" customHeight="false" outlineLevel="0" collapsed="false">
      <c r="A48" s="46" t="n">
        <v>46128</v>
      </c>
      <c r="B48" s="49"/>
      <c r="C48" s="46" t="n">
        <v>46135</v>
      </c>
      <c r="D48" s="49"/>
      <c r="E48" s="46" t="n">
        <v>46142</v>
      </c>
      <c r="F48" s="49"/>
      <c r="G48" s="46" t="n">
        <v>46149</v>
      </c>
      <c r="H48" s="49"/>
      <c r="I48" s="48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customFormat="false" ht="15.75" hidden="false" customHeight="false" outlineLevel="0" collapsed="false">
      <c r="A49" s="46" t="n">
        <v>46129</v>
      </c>
      <c r="B49" s="49"/>
      <c r="C49" s="46" t="n">
        <v>46136</v>
      </c>
      <c r="D49" s="49"/>
      <c r="E49" s="46" t="n">
        <v>46143</v>
      </c>
      <c r="F49" s="49"/>
      <c r="G49" s="46" t="n">
        <v>46150</v>
      </c>
      <c r="H49" s="49"/>
      <c r="I49" s="48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customFormat="false" ht="15.75" hidden="false" customHeight="false" outlineLevel="0" collapsed="false">
      <c r="A50" s="46" t="n">
        <v>46130</v>
      </c>
      <c r="B50" s="49"/>
      <c r="C50" s="46" t="n">
        <v>46137</v>
      </c>
      <c r="D50" s="49"/>
      <c r="E50" s="46" t="n">
        <v>46144</v>
      </c>
      <c r="F50" s="49"/>
      <c r="G50" s="46" t="n">
        <v>46151</v>
      </c>
      <c r="H50" s="49"/>
      <c r="I50" s="48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customFormat="false" ht="15.75" hidden="false" customHeight="false" outlineLevel="0" collapsed="false">
      <c r="A51" s="9"/>
      <c r="B51" s="50" t="n">
        <f aca="false">SUM(B47:B50)</f>
        <v>198000</v>
      </c>
      <c r="C51" s="9"/>
      <c r="D51" s="50" t="n">
        <f aca="false">SUM(D45:D50)</f>
        <v>198000</v>
      </c>
      <c r="E51" s="9"/>
      <c r="F51" s="50" t="n">
        <f aca="false">SUM(F45:F50)</f>
        <v>198000</v>
      </c>
      <c r="G51" s="9"/>
      <c r="H51" s="50" t="n">
        <f aca="false">SUM(H45:H50)</f>
        <v>198000</v>
      </c>
      <c r="I51" s="51" t="n">
        <v>4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customFormat="false" ht="15.75" hidden="false" customHeight="false" outlineLevel="0" collapsed="false">
      <c r="A52" s="52" t="s">
        <v>41</v>
      </c>
      <c r="B52" s="53"/>
      <c r="C52" s="52" t="s">
        <v>41</v>
      </c>
      <c r="D52" s="53"/>
      <c r="E52" s="52" t="s">
        <v>41</v>
      </c>
      <c r="F52" s="53"/>
      <c r="G52" s="52" t="s">
        <v>41</v>
      </c>
      <c r="H52" s="53"/>
      <c r="I52" s="54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customFormat="false" ht="15.75" hidden="false" customHeight="false" outlineLevel="0" collapsed="false">
      <c r="A53" s="43"/>
      <c r="B53" s="43"/>
      <c r="C53" s="43"/>
      <c r="D53" s="43"/>
      <c r="E53" s="43"/>
      <c r="F53" s="43"/>
      <c r="G53" s="43"/>
      <c r="H53" s="43"/>
      <c r="I53" s="43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customFormat="false" ht="15.75" hidden="false" customHeight="false" outlineLevel="0" collapsed="false">
      <c r="A54" s="46" t="n">
        <v>46153</v>
      </c>
      <c r="B54" s="49"/>
      <c r="C54" s="46" t="n">
        <v>46160</v>
      </c>
      <c r="D54" s="49"/>
      <c r="E54" s="46" t="n">
        <v>46167</v>
      </c>
      <c r="F54" s="49"/>
      <c r="G54" s="46" t="n">
        <v>46174</v>
      </c>
      <c r="H54" s="49"/>
      <c r="I54" s="48" t="n">
        <f aca="false">B60+D60+F60+H60</f>
        <v>594000</v>
      </c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customFormat="false" ht="15.75" hidden="false" customHeight="false" outlineLevel="0" collapsed="false">
      <c r="A55" s="46" t="n">
        <v>46154</v>
      </c>
      <c r="B55" s="49"/>
      <c r="C55" s="46" t="n">
        <v>46161</v>
      </c>
      <c r="D55" s="49"/>
      <c r="E55" s="46" t="n">
        <v>46168</v>
      </c>
      <c r="F55" s="49"/>
      <c r="G55" s="46" t="n">
        <v>46175</v>
      </c>
      <c r="H55" s="49"/>
      <c r="I55" s="48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customFormat="false" ht="15.75" hidden="false" customHeight="false" outlineLevel="0" collapsed="false">
      <c r="A56" s="46" t="n">
        <v>46155</v>
      </c>
      <c r="B56" s="49" t="n">
        <v>198000</v>
      </c>
      <c r="C56" s="46" t="n">
        <v>46162</v>
      </c>
      <c r="D56" s="49" t="n">
        <v>198000</v>
      </c>
      <c r="E56" s="46" t="n">
        <v>46169</v>
      </c>
      <c r="F56" s="49" t="n">
        <v>198000</v>
      </c>
      <c r="G56" s="46" t="n">
        <v>46176</v>
      </c>
      <c r="H56" s="49"/>
      <c r="I56" s="48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customFormat="false" ht="15.75" hidden="false" customHeight="false" outlineLevel="0" collapsed="false">
      <c r="A57" s="46" t="n">
        <v>46156</v>
      </c>
      <c r="B57" s="49"/>
      <c r="C57" s="46" t="n">
        <v>46163</v>
      </c>
      <c r="D57" s="49"/>
      <c r="E57" s="46" t="n">
        <v>46170</v>
      </c>
      <c r="F57" s="49"/>
      <c r="G57" s="46" t="n">
        <v>46177</v>
      </c>
      <c r="H57" s="49"/>
      <c r="I57" s="48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customFormat="false" ht="15.75" hidden="false" customHeight="false" outlineLevel="0" collapsed="false">
      <c r="A58" s="46" t="n">
        <v>46157</v>
      </c>
      <c r="B58" s="49"/>
      <c r="C58" s="46" t="n">
        <v>46164</v>
      </c>
      <c r="D58" s="49"/>
      <c r="E58" s="46" t="n">
        <v>46171</v>
      </c>
      <c r="F58" s="49"/>
      <c r="G58" s="46" t="n">
        <v>46178</v>
      </c>
      <c r="H58" s="49"/>
      <c r="I58" s="48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customFormat="false" ht="15.75" hidden="false" customHeight="false" outlineLevel="0" collapsed="false">
      <c r="A59" s="46" t="n">
        <v>46158</v>
      </c>
      <c r="B59" s="49"/>
      <c r="C59" s="46" t="n">
        <v>46165</v>
      </c>
      <c r="D59" s="49"/>
      <c r="E59" s="46" t="n">
        <v>46172</v>
      </c>
      <c r="F59" s="49"/>
      <c r="G59" s="46" t="n">
        <v>46179</v>
      </c>
      <c r="H59" s="49"/>
      <c r="I59" s="48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customFormat="false" ht="15.75" hidden="false" customHeight="false" outlineLevel="0" collapsed="false">
      <c r="A60" s="9"/>
      <c r="B60" s="50" t="n">
        <f aca="false">SUM(B56:B59)</f>
        <v>198000</v>
      </c>
      <c r="C60" s="9"/>
      <c r="D60" s="50" t="n">
        <f aca="false">SUM(D54:D59)</f>
        <v>198000</v>
      </c>
      <c r="E60" s="9"/>
      <c r="F60" s="50" t="n">
        <f aca="false">SUM(F54:F59)</f>
        <v>198000</v>
      </c>
      <c r="G60" s="9"/>
      <c r="H60" s="50" t="n">
        <f aca="false">SUM(H54:H59)</f>
        <v>0</v>
      </c>
      <c r="I60" s="51" t="n">
        <v>5</v>
      </c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customFormat="false" ht="15.75" hidden="false" customHeight="false" outlineLevel="0" collapsed="false">
      <c r="A61" s="52" t="s">
        <v>41</v>
      </c>
      <c r="B61" s="53"/>
      <c r="C61" s="52" t="s">
        <v>41</v>
      </c>
      <c r="D61" s="53"/>
      <c r="E61" s="52" t="s">
        <v>41</v>
      </c>
      <c r="F61" s="53"/>
      <c r="G61" s="52" t="s">
        <v>41</v>
      </c>
      <c r="H61" s="53"/>
      <c r="I61" s="54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customFormat="false" ht="15.75" hidden="false" customHeight="false" outlineLevel="0" collapsed="false">
      <c r="A62" s="43"/>
      <c r="B62" s="43"/>
      <c r="C62" s="43"/>
      <c r="D62" s="43"/>
      <c r="E62" s="43"/>
      <c r="F62" s="43"/>
      <c r="G62" s="43"/>
      <c r="H62" s="43"/>
      <c r="I62" s="43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</sheetData>
  <mergeCells count="23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I16:I21"/>
    <mergeCell ref="A24:I24"/>
    <mergeCell ref="I26:I31"/>
    <mergeCell ref="A34:I34"/>
    <mergeCell ref="I35:I40"/>
    <mergeCell ref="A43:I43"/>
    <mergeCell ref="A44:I44"/>
    <mergeCell ref="I45:I50"/>
    <mergeCell ref="A53:I53"/>
    <mergeCell ref="I54:I59"/>
    <mergeCell ref="A62:I6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2026-06-05T19:53:55Z</dcterms:modified>
  <cp:revision>1</cp:revision>
  <dc:subject/>
  <dc:title/>
</cp:coreProperties>
</file>