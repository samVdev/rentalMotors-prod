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<sst xmlns="http://schemas.openxmlformats.org/spreadsheetml/2006/main" count="134" uniqueCount="47">
  <si>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</si>
  <si>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</si>
  <si>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</si>
  <si>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</si>
  <si>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</si>
  <si>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</si>
  <si>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</si>
  <si>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</si>
  <si>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A2194</t>
  </si>
  <si>
    <t>BOXER</t>
  </si>
  <si>
    <t>BAJA</t>
  </si>
  <si>
    <t>RND43H</t>
  </si>
  <si>
    <t>48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</si>
  <si>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</si>
  <si>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</si>
  <si>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</si>
  <si>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</si>
  <si>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</si>
  <si>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</si>
  <si>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</si>
  <si>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</si>
  <si>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</si>
  <si>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</si>
  <si>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</si>
  <si>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</si>
  <si>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</si>
  <si>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</si>
  <si>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</si>
  <si>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</si>
  <si>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 xml:space="preserve">JEAN CARLOS </t>
  </si>
  <si>
    <t>CENTENO MIELES</t>
  </si>
  <si>
    <t>COLOMBIANA</t>
  </si>
  <si>
    <t>ACTIVO</t>
  </si>
  <si>
    <t>SALDO ACTUAL PAGADO</t>
  </si>
  <si>
    <t>DEUDA  A PAGAR</t>
  </si>
  <si>
    <t xml:space="preserve">DEUDA TOTAL </t>
  </si>
  <si>
    <t>DEUDA  ADQUIRIDA</t>
  </si>
  <si>
    <t>RENTAL MOTORS S.A.S</t>
  </si>
  <si>
    <t>FECHA</t>
  </si>
  <si>
    <t>ABONO</t>
  </si>
  <si>
    <t>REF,-</t>
  </si>
  <si>
    <t>M28695776</t>
  </si>
  <si>
    <t>M08321852</t>
  </si>
  <si>
    <t>M13721132</t>
  </si>
  <si>
    <t>EFECTIVO</t>
  </si>
  <si>
    <t>M21880489</t>
  </si>
  <si>
    <t>M09141358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</si>
</sst>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4.0"/>
      <color theme="1"/>
      <name val="Nunito"/>
    </font>
    <font>
      <b/>
      <sz val="14.0"/>
      <color rgb="FF000000"/>
      <name val="Nunito"/>
    </font>
    <font>
      <b/>
      <sz val="14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sz val="11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b/>
      <sz val="11.0"/>
      <color rgb="FFF3F3F3"/>
      <name val="Arial"/>
    </font>
    <font>
      <color rgb="FFFFFFFF"/>
      <name val="Arial"/>
    </font>
    <font>
      <b/>
      <sz val="25.0"/>
      <color rgb="FFFFFFFF"/>
      <name val="Arial"/>
    </font>
    <font>
      <sz val="30.0"/>
      <color theme="1"/>
      <name val="Arial"/>
    </font>
    <font>
      <sz val="27.0"/>
      <color theme="1"/>
      <name val="Arial"/>
    </font>
    <font>
      <b/>
      <sz val="27.0"/>
      <color theme="1"/>
      <name val="Arial"/>
    </font>
    <font/>
    <font>
      <b/>
      <sz val="25.0"/>
      <color theme="1"/>
      <name val="Arial"/>
    </font>
    <font>
      <sz val="35.0"/>
      <color theme="1"/>
      <name val="Arial"/>
    </font>
    <font>
      <sz val="25.0"/>
      <color theme="1"/>
      <name val="Arial"/>
    </font>
    <font>
      <color theme="9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theme="9"/>
        <bgColor theme="9"/>
      </patternFill>
    </fill>
    <fill>
      <patternFill patternType="solid">
        <fgColor rgb="FFFAF9F9"/>
        <bgColor rgb="FFFAF9F9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1" fillId="3" fontId="5" numFmtId="3" xfId="0" applyAlignment="1" applyBorder="1" applyFont="1" applyNumberFormat="1">
      <alignment horizontal="center" vertical="bottom"/>
    </xf>
    <xf borderId="1" fillId="3" fontId="5" numFmtId="1" xfId="0" applyAlignment="1" applyBorder="1" applyFont="1" applyNumberFormat="1">
      <alignment horizontal="center" vertical="bottom"/>
    </xf>
    <xf borderId="2" fillId="3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shrinkToFit="0" vertical="bottom" wrapText="1"/>
    </xf>
    <xf borderId="0" fillId="8" fontId="10" numFmtId="0" xfId="0" applyAlignment="1" applyFont="1">
      <alignment horizontal="center" shrinkToFit="0" vertical="bottom" wrapText="1"/>
    </xf>
    <xf borderId="0" fillId="9" fontId="11" numFmtId="0" xfId="0" applyAlignment="1" applyFill="1" applyFont="1">
      <alignment horizontal="center" readingOrder="0" vertical="bottom"/>
    </xf>
    <xf borderId="0" fillId="9" fontId="12" numFmtId="0" xfId="0" applyAlignment="1" applyFont="1">
      <alignment horizontal="center" vertical="bottom"/>
    </xf>
    <xf borderId="0" fillId="9" fontId="12" numFmtId="0" xfId="0" applyAlignment="1" applyFont="1">
      <alignment horizontal="center" readingOrder="0" vertical="bottom"/>
    </xf>
    <xf borderId="0" fillId="10" fontId="13" numFmtId="0" xfId="0" applyAlignment="1" applyFill="1" applyFont="1">
      <alignment horizontal="center" vertical="bottom"/>
    </xf>
    <xf borderId="0" fillId="11" fontId="14" numFmtId="0" xfId="0" applyAlignment="1" applyFill="1" applyFont="1">
      <alignment horizontal="center" vertical="bottom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0" fillId="13" fontId="2" numFmtId="164" xfId="0" applyAlignment="1" applyFill="1" applyFont="1" applyNumberFormat="1">
      <alignment vertical="bottom"/>
    </xf>
    <xf borderId="4" fillId="12" fontId="2" numFmtId="0" xfId="0" applyAlignment="1" applyBorder="1" applyFont="1">
      <alignment vertical="bottom"/>
    </xf>
    <xf borderId="0" fillId="5" fontId="13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5" numFmtId="0" xfId="0" applyAlignment="1" applyFont="1">
      <alignment horizontal="center" readingOrder="0" vertical="bottom"/>
    </xf>
    <xf borderId="0" fillId="5" fontId="15" numFmtId="4" xfId="0" applyAlignment="1" applyFont="1" applyNumberFormat="1">
      <alignment readingOrder="0" vertical="bottom"/>
    </xf>
    <xf borderId="5" fillId="4" fontId="16" numFmtId="4" xfId="0" applyAlignment="1" applyBorder="1" applyFont="1" applyNumberFormat="1">
      <alignment horizontal="center" readingOrder="0" vertical="bottom"/>
    </xf>
    <xf borderId="0" fillId="12" fontId="17" numFmtId="164" xfId="0" applyAlignment="1" applyFont="1" applyNumberFormat="1">
      <alignment horizontal="center" vertical="center"/>
    </xf>
    <xf borderId="0" fillId="14" fontId="18" numFmtId="164" xfId="0" applyAlignment="1" applyFill="1" applyFont="1" applyNumberFormat="1">
      <alignment horizontal="center" vertical="bottom"/>
    </xf>
    <xf borderId="0" fillId="15" fontId="19" numFmtId="164" xfId="0" applyAlignment="1" applyFill="1" applyFont="1" applyNumberFormat="1">
      <alignment horizontal="center" vertical="bottom"/>
    </xf>
    <xf borderId="0" fillId="15" fontId="2" numFmtId="0" xfId="0" applyAlignment="1" applyFont="1">
      <alignment vertical="bottom"/>
    </xf>
    <xf borderId="5" fillId="0" fontId="20" numFmtId="0" xfId="0" applyBorder="1" applyFont="1"/>
    <xf borderId="5" fillId="12" fontId="21" numFmtId="0" xfId="0" applyAlignment="1" applyBorder="1" applyFont="1">
      <alignment horizontal="center" vertical="bottom"/>
    </xf>
    <xf borderId="0" fillId="16" fontId="13" numFmtId="0" xfId="0" applyAlignment="1" applyFill="1" applyFont="1">
      <alignment vertical="bottom"/>
    </xf>
    <xf borderId="6" fillId="16" fontId="2" numFmtId="0" xfId="0" applyAlignment="1" applyBorder="1" applyFont="1">
      <alignment vertical="bottom"/>
    </xf>
    <xf borderId="7" fillId="0" fontId="20" numFmtId="0" xfId="0" applyBorder="1" applyFont="1"/>
    <xf borderId="8" fillId="0" fontId="20" numFmtId="0" xfId="0" applyBorder="1" applyFont="1"/>
    <xf borderId="0" fillId="12" fontId="2" numFmtId="0" xfId="0" applyAlignment="1" applyFont="1">
      <alignment horizontal="center" vertical="bottom"/>
    </xf>
    <xf borderId="0" fillId="11" fontId="2" numFmtId="166" xfId="0" applyAlignment="1" applyFont="1" applyNumberFormat="1">
      <alignment horizontal="center" readingOrder="0" vertical="bottom"/>
    </xf>
    <xf borderId="0" fillId="6" fontId="2" numFmtId="166" xfId="0" applyAlignment="1" applyFont="1" applyNumberFormat="1">
      <alignment horizontal="center" readingOrder="0" vertical="bottom"/>
    </xf>
    <xf borderId="0" fillId="0" fontId="22" numFmtId="164" xfId="0" applyAlignment="1" applyFont="1" applyNumberFormat="1">
      <alignment horizontal="center" readingOrder="0" vertical="center"/>
    </xf>
    <xf borderId="0" fillId="12" fontId="23" numFmtId="164" xfId="0" applyAlignment="1" applyFont="1" applyNumberFormat="1">
      <alignment horizontal="center" vertical="center"/>
    </xf>
    <xf borderId="0" fillId="12" fontId="2" numFmtId="164" xfId="0" applyAlignment="1" applyFont="1" applyNumberFormat="1">
      <alignment vertical="bottom"/>
    </xf>
    <xf borderId="0" fillId="4" fontId="13" numFmtId="0" xfId="0" applyAlignment="1" applyFont="1">
      <alignment horizontal="center" vertical="bottom"/>
    </xf>
    <xf borderId="0" fillId="10" fontId="2" numFmtId="167" xfId="0" applyAlignment="1" applyFont="1" applyNumberFormat="1">
      <alignment vertical="bottom"/>
    </xf>
    <xf borderId="0" fillId="10" fontId="2" numFmtId="167" xfId="0" applyAlignment="1" applyFont="1" applyNumberFormat="1">
      <alignment horizontal="center" readingOrder="0" vertical="bottom"/>
    </xf>
    <xf borderId="0" fillId="17" fontId="24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0" fillId="4" fontId="13" numFmtId="0" xfId="0" applyAlignment="1" applyFont="1">
      <alignment horizontal="center" readingOrder="0" vertical="bottom"/>
    </xf>
    <xf borderId="0" fillId="10" fontId="2" numFmtId="167" xfId="0" applyAlignment="1" applyFont="1" applyNumberFormat="1">
      <alignment readingOrder="0" vertical="bottom"/>
    </xf>
    <xf borderId="0" fillId="12" fontId="24" numFmtId="0" xfId="0" applyAlignment="1" applyFont="1">
      <alignment horizontal="center" vertical="bottom"/>
    </xf>
    <xf borderId="0" fillId="18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0</xdr:row>
      <xdr:rowOff>0</xdr:rowOff>
    </xdr:from>
    <xdr:ext cx="1866900" cy="2676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9.13"/>
    <col customWidth="1" min="2" max="2" width="20.88"/>
    <col customWidth="1" min="3" max="3" width="19.63"/>
    <col customWidth="1" min="4" max="4" width="17.75"/>
    <col customWidth="1" min="5" max="5" width="19.63"/>
    <col customWidth="1" min="6" max="6" width="18.5"/>
    <col customWidth="1" min="7" max="7" width="18.63"/>
    <col customWidth="1" min="8" max="8" width="25.13"/>
    <col customWidth="1" min="9" max="9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6" t="s">
        <v>9</v>
      </c>
      <c r="C2" s="6">
        <v>2026.0</v>
      </c>
      <c r="D2" s="5" t="s">
        <v>10</v>
      </c>
      <c r="E2" s="5" t="s">
        <v>11</v>
      </c>
      <c r="F2" s="7" t="s">
        <v>12</v>
      </c>
      <c r="G2" s="8">
        <v>6800000.0</v>
      </c>
      <c r="H2" s="9">
        <v>1350000.0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0"/>
      <c r="C3" s="10"/>
      <c r="D3" s="10"/>
      <c r="E3" s="10"/>
      <c r="F3" s="10"/>
      <c r="G3" s="10"/>
      <c r="H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f>G2-H2</f>
        <v>5450000</v>
      </c>
      <c r="B5" s="13">
        <f>A5*111.1%</f>
        <v>6054950</v>
      </c>
      <c r="C5" s="14">
        <f>A5+B5</f>
        <v>11504950</v>
      </c>
      <c r="D5" s="15">
        <v>18.0</v>
      </c>
      <c r="E5" s="16">
        <f>C5/D5</f>
        <v>639163.8889</v>
      </c>
      <c r="F5" s="17">
        <f t="shared" ref="F5:G5" si="1">E5/2</f>
        <v>319581.9444</v>
      </c>
      <c r="G5" s="16">
        <f t="shared" si="1"/>
        <v>159790.9722</v>
      </c>
      <c r="H5" s="16">
        <f>G5/6</f>
        <v>26631.8287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1" t="s">
        <v>29</v>
      </c>
      <c r="B7" s="21" t="s">
        <v>30</v>
      </c>
      <c r="C7" s="22">
        <v>1.007256629E9</v>
      </c>
      <c r="D7" s="22" t="s">
        <v>31</v>
      </c>
      <c r="E7" s="23">
        <v>3.017548501E9</v>
      </c>
      <c r="F7" s="24" t="s">
        <v>32</v>
      </c>
      <c r="G7" s="24" t="s">
        <v>32</v>
      </c>
      <c r="H7" s="25">
        <v>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6"/>
      <c r="B8" s="26"/>
      <c r="C8" s="26"/>
      <c r="D8" s="26"/>
      <c r="E8" s="27"/>
      <c r="F8" s="28"/>
      <c r="G8" s="28"/>
      <c r="H8" s="2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0" t="s">
        <v>33</v>
      </c>
      <c r="C9" s="31" t="s">
        <v>34</v>
      </c>
      <c r="E9" s="32" t="s">
        <v>35</v>
      </c>
      <c r="G9" s="33" t="s">
        <v>36</v>
      </c>
      <c r="H9" s="34" t="s">
        <v>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5">
        <f>I16+I26+I36+I46+I56+I66+I76+I86</f>
        <v>4735000</v>
      </c>
      <c r="C10" s="36">
        <f>C5-A10</f>
        <v>6769950</v>
      </c>
      <c r="E10" s="37">
        <f>C10+G10</f>
        <v>6769950</v>
      </c>
      <c r="G10" s="38"/>
      <c r="H10" s="3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H11" s="40">
        <f>I23+I33+I43+I53+I63+I73+I83+I93</f>
        <v>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1" t="s">
        <v>37</v>
      </c>
      <c r="E12" s="42"/>
      <c r="F12" s="43"/>
      <c r="G12" s="43"/>
      <c r="H12" s="4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5" t="s">
        <v>38</v>
      </c>
      <c r="B15" s="45" t="s">
        <v>38</v>
      </c>
      <c r="C15" s="45" t="s">
        <v>38</v>
      </c>
      <c r="D15" s="45" t="s">
        <v>38</v>
      </c>
      <c r="E15" s="45" t="s">
        <v>39</v>
      </c>
      <c r="F15" s="45" t="s">
        <v>39</v>
      </c>
      <c r="G15" s="45" t="s">
        <v>39</v>
      </c>
      <c r="H15" s="45" t="s">
        <v>39</v>
      </c>
      <c r="I15" s="2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6">
        <v>45957.0</v>
      </c>
      <c r="B16" s="47">
        <v>45964.0</v>
      </c>
      <c r="C16" s="47">
        <v>45971.0</v>
      </c>
      <c r="D16" s="46">
        <v>45978.0</v>
      </c>
      <c r="E16" s="48">
        <v>320000.0</v>
      </c>
      <c r="G16" s="48">
        <v>320000.0</v>
      </c>
      <c r="I16" s="49">
        <f>E16+G16</f>
        <v>640000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7">
        <v>45958.0</v>
      </c>
      <c r="B17" s="47">
        <v>45965.0</v>
      </c>
      <c r="C17" s="47">
        <v>45972.0</v>
      </c>
      <c r="D17" s="47">
        <v>45979.0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7">
        <v>45959.0</v>
      </c>
      <c r="B18" s="47">
        <v>45966.0</v>
      </c>
      <c r="C18" s="47">
        <v>45973.0</v>
      </c>
      <c r="D18" s="47">
        <v>45980.0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7">
        <v>45960.0</v>
      </c>
      <c r="B19" s="47">
        <v>45967.0</v>
      </c>
      <c r="C19" s="47">
        <v>45974.0</v>
      </c>
      <c r="D19" s="47">
        <v>45981.0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7">
        <v>45961.0</v>
      </c>
      <c r="B20" s="47">
        <v>45968.0</v>
      </c>
      <c r="C20" s="47">
        <v>45975.0</v>
      </c>
      <c r="D20" s="47">
        <v>45982.0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7">
        <v>45962.0</v>
      </c>
      <c r="B21" s="47">
        <v>45969.0</v>
      </c>
      <c r="C21" s="47">
        <v>45976.0</v>
      </c>
      <c r="D21" s="47">
        <v>45983.0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/>
      <c r="B22" s="50"/>
      <c r="C22" s="26"/>
      <c r="D22" s="50"/>
      <c r="E22" s="26"/>
      <c r="F22" s="50"/>
      <c r="G22" s="26"/>
      <c r="H22" s="50"/>
      <c r="I22" s="51">
        <v>1.0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/>
      <c r="B23" s="52"/>
      <c r="C23" s="26"/>
      <c r="D23" s="52"/>
      <c r="E23" s="26" t="s">
        <v>40</v>
      </c>
      <c r="F23" s="53" t="s">
        <v>41</v>
      </c>
      <c r="G23" s="26" t="s">
        <v>40</v>
      </c>
      <c r="H23" s="53" t="s">
        <v>42</v>
      </c>
      <c r="I23" s="54">
        <v>1.0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5" t="s">
        <v>38</v>
      </c>
      <c r="B25" s="45" t="s">
        <v>38</v>
      </c>
      <c r="C25" s="45" t="s">
        <v>38</v>
      </c>
      <c r="D25" s="45" t="s">
        <v>38</v>
      </c>
      <c r="E25" s="45" t="s">
        <v>39</v>
      </c>
      <c r="F25" s="45" t="s">
        <v>39</v>
      </c>
      <c r="G25" s="45" t="s">
        <v>39</v>
      </c>
      <c r="H25" s="45" t="s">
        <v>39</v>
      </c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7">
        <v>45985.0</v>
      </c>
      <c r="B26" s="46">
        <v>45992.0</v>
      </c>
      <c r="C26" s="47">
        <v>45999.0</v>
      </c>
      <c r="D26" s="47">
        <v>46006.0</v>
      </c>
      <c r="E26" s="48">
        <v>320000.0</v>
      </c>
      <c r="G26" s="48">
        <v>320000.0</v>
      </c>
      <c r="I26" s="49">
        <f>E26+G26</f>
        <v>640000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7">
        <v>45986.0</v>
      </c>
      <c r="B27" s="47">
        <v>45993.0</v>
      </c>
      <c r="C27" s="47">
        <v>46000.0</v>
      </c>
      <c r="D27" s="46">
        <v>46007.0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7">
        <v>45987.0</v>
      </c>
      <c r="B28" s="47">
        <v>45994.0</v>
      </c>
      <c r="C28" s="47">
        <v>46001.0</v>
      </c>
      <c r="D28" s="47">
        <v>46008.0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7">
        <v>45988.0</v>
      </c>
      <c r="B29" s="47">
        <v>45995.0</v>
      </c>
      <c r="C29" s="47">
        <v>46002.0</v>
      </c>
      <c r="D29" s="47">
        <v>46009.0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7">
        <v>45989.0</v>
      </c>
      <c r="B30" s="47">
        <v>45996.0</v>
      </c>
      <c r="C30" s="47">
        <v>46003.0</v>
      </c>
      <c r="D30" s="47">
        <v>46010.0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7">
        <v>45990.0</v>
      </c>
      <c r="B31" s="47">
        <v>45997.0</v>
      </c>
      <c r="C31" s="47">
        <v>46004.0</v>
      </c>
      <c r="D31" s="47">
        <v>46011.0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6"/>
      <c r="B32" s="50"/>
      <c r="C32" s="26"/>
      <c r="D32" s="50"/>
      <c r="E32" s="26"/>
      <c r="F32" s="50"/>
      <c r="G32" s="26"/>
      <c r="H32" s="50"/>
      <c r="I32" s="56">
        <v>2.0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/>
      <c r="B33" s="52"/>
      <c r="C33" s="26"/>
      <c r="D33" s="57"/>
      <c r="E33" s="26" t="s">
        <v>40</v>
      </c>
      <c r="F33" s="53" t="s">
        <v>43</v>
      </c>
      <c r="G33" s="26" t="s">
        <v>40</v>
      </c>
      <c r="H33" s="57" t="s">
        <v>44</v>
      </c>
      <c r="I33" s="58">
        <v>1.0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5" t="s">
        <v>38</v>
      </c>
      <c r="B35" s="45" t="s">
        <v>38</v>
      </c>
      <c r="C35" s="45" t="s">
        <v>38</v>
      </c>
      <c r="D35" s="45" t="s">
        <v>38</v>
      </c>
      <c r="E35" s="45" t="s">
        <v>39</v>
      </c>
      <c r="F35" s="45" t="s">
        <v>39</v>
      </c>
      <c r="G35" s="45" t="s">
        <v>39</v>
      </c>
      <c r="H35" s="45" t="s">
        <v>39</v>
      </c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7">
        <v>46013.0</v>
      </c>
      <c r="B36" s="47">
        <v>46020.0</v>
      </c>
      <c r="C36" s="47">
        <v>46027.0</v>
      </c>
      <c r="D36" s="47">
        <v>46034.0</v>
      </c>
      <c r="E36" s="48">
        <v>320000.0</v>
      </c>
      <c r="G36" s="48">
        <v>277000.0</v>
      </c>
      <c r="I36" s="49">
        <f>E36+G36</f>
        <v>597000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7">
        <v>46014.0</v>
      </c>
      <c r="B37" s="47">
        <v>46021.0</v>
      </c>
      <c r="C37" s="47">
        <v>46028.0</v>
      </c>
      <c r="D37" s="47">
        <v>46035.0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7">
        <v>46015.0</v>
      </c>
      <c r="B38" s="46">
        <v>46022.0</v>
      </c>
      <c r="C38" s="47">
        <v>46029.0</v>
      </c>
      <c r="D38" s="47">
        <v>46036.0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7">
        <v>46016.0</v>
      </c>
      <c r="B39" s="47">
        <v>46023.0</v>
      </c>
      <c r="C39" s="47">
        <v>46030.0</v>
      </c>
      <c r="D39" s="47">
        <v>46037.0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7">
        <v>46017.0</v>
      </c>
      <c r="B40" s="47">
        <v>46024.0</v>
      </c>
      <c r="C40" s="47">
        <v>46031.0</v>
      </c>
      <c r="D40" s="47">
        <v>46038.0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7">
        <v>46018.0</v>
      </c>
      <c r="B41" s="47">
        <v>46025.0</v>
      </c>
      <c r="C41" s="47">
        <v>46032.0</v>
      </c>
      <c r="D41" s="46">
        <v>46039.0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6"/>
      <c r="B42" s="50"/>
      <c r="C42" s="26"/>
      <c r="D42" s="50"/>
      <c r="E42" s="26"/>
      <c r="F42" s="50"/>
      <c r="G42" s="26"/>
      <c r="H42" s="50"/>
      <c r="I42" s="56">
        <v>3.0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/>
      <c r="B43" s="57"/>
      <c r="C43" s="26"/>
      <c r="D43" s="52"/>
      <c r="E43" s="26" t="s">
        <v>40</v>
      </c>
      <c r="F43" s="53" t="s">
        <v>45</v>
      </c>
      <c r="G43" s="26" t="s">
        <v>40</v>
      </c>
      <c r="H43" s="53" t="s">
        <v>46</v>
      </c>
      <c r="I43" s="58">
        <v>1.0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5" t="s">
        <v>38</v>
      </c>
      <c r="B45" s="45" t="s">
        <v>38</v>
      </c>
      <c r="C45" s="45" t="s">
        <v>38</v>
      </c>
      <c r="D45" s="45" t="s">
        <v>38</v>
      </c>
      <c r="E45" s="45" t="s">
        <v>39</v>
      </c>
      <c r="F45" s="45" t="s">
        <v>39</v>
      </c>
      <c r="G45" s="45" t="s">
        <v>39</v>
      </c>
      <c r="H45" s="45" t="s">
        <v>39</v>
      </c>
      <c r="I45" s="2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7">
        <v>46041.0</v>
      </c>
      <c r="B46" s="47">
        <v>46048.0</v>
      </c>
      <c r="C46" s="47">
        <v>46055.0</v>
      </c>
      <c r="D46" s="47">
        <v>46062.0</v>
      </c>
      <c r="E46" s="48">
        <v>320000.0</v>
      </c>
      <c r="G46" s="48">
        <v>320000.0</v>
      </c>
      <c r="I46" s="49">
        <f>E46+G46</f>
        <v>640000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7">
        <v>46042.0</v>
      </c>
      <c r="B47" s="47">
        <v>46049.0</v>
      </c>
      <c r="C47" s="47">
        <v>46056.0</v>
      </c>
      <c r="D47" s="47">
        <v>46063.0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7">
        <v>46043.0</v>
      </c>
      <c r="B48" s="47">
        <v>46050.0</v>
      </c>
      <c r="C48" s="47">
        <v>46057.0</v>
      </c>
      <c r="D48" s="47">
        <v>46064.0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7">
        <v>46044.0</v>
      </c>
      <c r="B49" s="47">
        <v>46051.0</v>
      </c>
      <c r="C49" s="47">
        <v>46058.0</v>
      </c>
      <c r="D49" s="47">
        <v>46065.0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7">
        <v>46045.0</v>
      </c>
      <c r="B50" s="47">
        <v>46052.0</v>
      </c>
      <c r="C50" s="47">
        <v>46059.0</v>
      </c>
      <c r="D50" s="47">
        <v>46066.0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7">
        <v>46046.0</v>
      </c>
      <c r="B51" s="47">
        <v>46053.0</v>
      </c>
      <c r="C51" s="47">
        <v>46060.0</v>
      </c>
      <c r="D51" s="47">
        <v>46067.0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6"/>
      <c r="B52" s="50"/>
      <c r="C52" s="26"/>
      <c r="D52" s="50"/>
      <c r="E52" s="26"/>
      <c r="F52" s="50"/>
      <c r="G52" s="26"/>
      <c r="H52" s="50"/>
      <c r="I52" s="56">
        <v>4.0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6"/>
      <c r="B53" s="57"/>
      <c r="C53" s="26"/>
      <c r="D53" s="52"/>
      <c r="E53" s="26" t="s">
        <v>40</v>
      </c>
      <c r="F53" s="53"/>
      <c r="G53" s="26" t="s">
        <v>40</v>
      </c>
      <c r="H53" s="53"/>
      <c r="I53" s="58">
        <v>1.0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5" t="s">
        <v>38</v>
      </c>
      <c r="B55" s="45" t="s">
        <v>38</v>
      </c>
      <c r="C55" s="45" t="s">
        <v>38</v>
      </c>
      <c r="D55" s="45" t="s">
        <v>38</v>
      </c>
      <c r="E55" s="45" t="s">
        <v>39</v>
      </c>
      <c r="F55" s="45" t="s">
        <v>39</v>
      </c>
      <c r="G55" s="45" t="s">
        <v>39</v>
      </c>
      <c r="H55" s="45" t="s">
        <v>39</v>
      </c>
      <c r="I55" s="2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7">
        <v>46069.0</v>
      </c>
      <c r="B56" s="47">
        <v>46076.0</v>
      </c>
      <c r="C56" s="47">
        <v>46083.0</v>
      </c>
      <c r="D56" s="47">
        <v>46090.0</v>
      </c>
      <c r="E56" s="48">
        <v>320000.0</v>
      </c>
      <c r="G56" s="48">
        <v>320000.0</v>
      </c>
      <c r="I56" s="49">
        <f>E56+G56</f>
        <v>640000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7">
        <v>46070.0</v>
      </c>
      <c r="B57" s="47">
        <v>46077.0</v>
      </c>
      <c r="C57" s="47">
        <v>46084.0</v>
      </c>
      <c r="D57" s="47">
        <v>46091.0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7">
        <v>46071.0</v>
      </c>
      <c r="B58" s="47">
        <v>46078.0</v>
      </c>
      <c r="C58" s="47">
        <v>46085.0</v>
      </c>
      <c r="D58" s="47">
        <v>46092.0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7">
        <v>46072.0</v>
      </c>
      <c r="B59" s="47">
        <v>46079.0</v>
      </c>
      <c r="C59" s="47">
        <v>46086.0</v>
      </c>
      <c r="D59" s="47">
        <v>46093.0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7">
        <v>46073.0</v>
      </c>
      <c r="B60" s="47">
        <v>46080.0</v>
      </c>
      <c r="C60" s="47">
        <v>46087.0</v>
      </c>
      <c r="D60" s="47">
        <v>46094.0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7">
        <v>46074.0</v>
      </c>
      <c r="B61" s="47">
        <v>46081.0</v>
      </c>
      <c r="C61" s="47">
        <v>46088.0</v>
      </c>
      <c r="D61" s="47">
        <v>46095.0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6"/>
      <c r="B62" s="50"/>
      <c r="C62" s="26"/>
      <c r="D62" s="50"/>
      <c r="E62" s="26"/>
      <c r="F62" s="50"/>
      <c r="G62" s="26"/>
      <c r="H62" s="50"/>
      <c r="I62" s="56">
        <v>5.0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6"/>
      <c r="B63" s="57"/>
      <c r="C63" s="26"/>
      <c r="D63" s="52"/>
      <c r="E63" s="26" t="s">
        <v>40</v>
      </c>
      <c r="F63" s="53"/>
      <c r="G63" s="26" t="s">
        <v>40</v>
      </c>
      <c r="H63" s="53"/>
      <c r="I63" s="58">
        <v>1.0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5" t="s">
        <v>38</v>
      </c>
      <c r="B65" s="45" t="s">
        <v>38</v>
      </c>
      <c r="C65" s="45" t="s">
        <v>38</v>
      </c>
      <c r="D65" s="45" t="s">
        <v>38</v>
      </c>
      <c r="E65" s="45" t="s">
        <v>39</v>
      </c>
      <c r="F65" s="45" t="s">
        <v>39</v>
      </c>
      <c r="G65" s="45" t="s">
        <v>39</v>
      </c>
      <c r="H65" s="45" t="s">
        <v>39</v>
      </c>
      <c r="I65" s="2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7">
        <v>46097.0</v>
      </c>
      <c r="B66" s="47">
        <v>46104.0</v>
      </c>
      <c r="C66" s="47">
        <v>46111.0</v>
      </c>
      <c r="D66" s="47">
        <v>46118.0</v>
      </c>
      <c r="E66" s="48">
        <v>320000.0</v>
      </c>
      <c r="G66" s="48">
        <v>298000.0</v>
      </c>
      <c r="I66" s="49">
        <f>E66+G66</f>
        <v>618000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7">
        <v>46098.0</v>
      </c>
      <c r="B67" s="47">
        <v>46105.0</v>
      </c>
      <c r="C67" s="47">
        <v>46112.0</v>
      </c>
      <c r="D67" s="47">
        <v>46119.0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7">
        <v>46099.0</v>
      </c>
      <c r="B68" s="47">
        <v>46106.0</v>
      </c>
      <c r="C68" s="47">
        <v>46113.0</v>
      </c>
      <c r="D68" s="47">
        <v>46120.0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7">
        <v>46100.0</v>
      </c>
      <c r="B69" s="47">
        <v>46107.0</v>
      </c>
      <c r="C69" s="47">
        <v>46114.0</v>
      </c>
      <c r="D69" s="47">
        <v>46121.0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7">
        <v>46101.0</v>
      </c>
      <c r="B70" s="47">
        <v>46108.0</v>
      </c>
      <c r="C70" s="47">
        <v>46115.0</v>
      </c>
      <c r="D70" s="47">
        <v>46122.0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7">
        <v>46102.0</v>
      </c>
      <c r="B71" s="47">
        <v>46109.0</v>
      </c>
      <c r="C71" s="47">
        <v>46116.0</v>
      </c>
      <c r="D71" s="47">
        <v>46123.0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6"/>
      <c r="B72" s="50"/>
      <c r="C72" s="26"/>
      <c r="D72" s="50"/>
      <c r="E72" s="26"/>
      <c r="F72" s="50"/>
      <c r="G72" s="26"/>
      <c r="H72" s="50"/>
      <c r="I72" s="56">
        <v>6.0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6"/>
      <c r="B73" s="57"/>
      <c r="C73" s="26"/>
      <c r="D73" s="52"/>
      <c r="E73" s="26" t="s">
        <v>40</v>
      </c>
      <c r="F73" s="53"/>
      <c r="G73" s="26" t="s">
        <v>40</v>
      </c>
      <c r="H73" s="53"/>
      <c r="I73" s="58">
        <v>1.0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5" t="s">
        <v>38</v>
      </c>
      <c r="B75" s="45" t="s">
        <v>38</v>
      </c>
      <c r="C75" s="45" t="s">
        <v>38</v>
      </c>
      <c r="D75" s="45" t="s">
        <v>38</v>
      </c>
      <c r="E75" s="45" t="s">
        <v>39</v>
      </c>
      <c r="F75" s="45" t="s">
        <v>39</v>
      </c>
      <c r="G75" s="45" t="s">
        <v>39</v>
      </c>
      <c r="H75" s="45" t="s">
        <v>39</v>
      </c>
      <c r="I75" s="2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7">
        <v>46125.0</v>
      </c>
      <c r="B76" s="47">
        <v>46132.0</v>
      </c>
      <c r="C76" s="47">
        <v>46139.0</v>
      </c>
      <c r="D76" s="47">
        <v>46146.0</v>
      </c>
      <c r="E76" s="48">
        <v>320000.0</v>
      </c>
      <c r="G76" s="48">
        <v>320000.0</v>
      </c>
      <c r="I76" s="49">
        <f>E76+G76</f>
        <v>640000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7">
        <v>46126.0</v>
      </c>
      <c r="B77" s="47">
        <v>46133.0</v>
      </c>
      <c r="C77" s="47">
        <v>46140.0</v>
      </c>
      <c r="D77" s="47">
        <v>46147.0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7">
        <v>46127.0</v>
      </c>
      <c r="B78" s="47">
        <v>46134.0</v>
      </c>
      <c r="C78" s="47">
        <v>46141.0</v>
      </c>
      <c r="D78" s="47">
        <v>46148.0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7">
        <v>46128.0</v>
      </c>
      <c r="B79" s="47">
        <v>46135.0</v>
      </c>
      <c r="C79" s="47">
        <v>46142.0</v>
      </c>
      <c r="D79" s="47">
        <v>46149.0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7">
        <v>46129.0</v>
      </c>
      <c r="B80" s="47">
        <v>46136.0</v>
      </c>
      <c r="C80" s="47">
        <v>46143.0</v>
      </c>
      <c r="D80" s="47">
        <v>46150.0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7">
        <v>46130.0</v>
      </c>
      <c r="B81" s="47">
        <v>46137.0</v>
      </c>
      <c r="C81" s="47">
        <v>46144.0</v>
      </c>
      <c r="D81" s="47">
        <v>46151.0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6"/>
      <c r="B82" s="50"/>
      <c r="C82" s="26"/>
      <c r="D82" s="50"/>
      <c r="E82" s="26"/>
      <c r="F82" s="50"/>
      <c r="G82" s="26"/>
      <c r="H82" s="50"/>
      <c r="I82" s="56">
        <v>7.0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6"/>
      <c r="B83" s="57"/>
      <c r="C83" s="26"/>
      <c r="D83" s="52"/>
      <c r="E83" s="26" t="s">
        <v>40</v>
      </c>
      <c r="F83" s="53"/>
      <c r="G83" s="26" t="s">
        <v>40</v>
      </c>
      <c r="H83" s="53"/>
      <c r="I83" s="58">
        <v>1.0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5" t="s">
        <v>38</v>
      </c>
      <c r="B85" s="45" t="s">
        <v>38</v>
      </c>
      <c r="C85" s="45" t="s">
        <v>38</v>
      </c>
      <c r="D85" s="45" t="s">
        <v>38</v>
      </c>
      <c r="E85" s="45" t="s">
        <v>39</v>
      </c>
      <c r="F85" s="45" t="s">
        <v>39</v>
      </c>
      <c r="G85" s="45" t="s">
        <v>39</v>
      </c>
      <c r="H85" s="45" t="s">
        <v>39</v>
      </c>
      <c r="I85" s="2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7">
        <v>46153.0</v>
      </c>
      <c r="B86" s="47">
        <v>46160.0</v>
      </c>
      <c r="C86" s="47">
        <v>46167.0</v>
      </c>
      <c r="D86" s="47">
        <v>46174.0</v>
      </c>
      <c r="E86" s="48">
        <v>320000.0</v>
      </c>
      <c r="G86" s="48"/>
      <c r="I86" s="49">
        <f>E86+G86</f>
        <v>320000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7">
        <v>46154.0</v>
      </c>
      <c r="B87" s="47">
        <v>46161.0</v>
      </c>
      <c r="C87" s="47">
        <v>46168.0</v>
      </c>
      <c r="D87" s="47">
        <v>46175.0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7">
        <v>46155.0</v>
      </c>
      <c r="B88" s="47">
        <v>46162.0</v>
      </c>
      <c r="C88" s="47">
        <v>46169.0</v>
      </c>
      <c r="D88" s="47">
        <v>46176.0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7">
        <v>46156.0</v>
      </c>
      <c r="B89" s="47">
        <v>46163.0</v>
      </c>
      <c r="C89" s="47">
        <v>46170.0</v>
      </c>
      <c r="D89" s="47">
        <v>46177.0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7">
        <v>46157.0</v>
      </c>
      <c r="B90" s="47">
        <v>46164.0</v>
      </c>
      <c r="C90" s="47">
        <v>46171.0</v>
      </c>
      <c r="D90" s="47">
        <v>46178.0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7">
        <v>46158.0</v>
      </c>
      <c r="B91" s="47">
        <v>46165.0</v>
      </c>
      <c r="C91" s="47">
        <v>46172.0</v>
      </c>
      <c r="D91" s="47">
        <v>46179.0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6"/>
      <c r="B92" s="50"/>
      <c r="C92" s="26"/>
      <c r="D92" s="50"/>
      <c r="E92" s="26"/>
      <c r="F92" s="50"/>
      <c r="G92" s="26"/>
      <c r="H92" s="50"/>
      <c r="I92" s="56">
        <v>8.0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6"/>
      <c r="B93" s="57"/>
      <c r="C93" s="26"/>
      <c r="D93" s="52"/>
      <c r="E93" s="26" t="s">
        <v>40</v>
      </c>
      <c r="F93" s="53"/>
      <c r="G93" s="26" t="s">
        <v>40</v>
      </c>
      <c r="H93" s="53"/>
      <c r="I93" s="5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5" t="s">
        <v>38</v>
      </c>
      <c r="B95" s="45" t="s">
        <v>38</v>
      </c>
      <c r="C95" s="45" t="s">
        <v>38</v>
      </c>
      <c r="D95" s="45" t="s">
        <v>38</v>
      </c>
      <c r="E95" s="45" t="s">
        <v>39</v>
      </c>
      <c r="F95" s="45" t="s">
        <v>39</v>
      </c>
      <c r="G95" s="45" t="s">
        <v>39</v>
      </c>
      <c r="H95" s="45" t="s">
        <v>39</v>
      </c>
      <c r="I95" s="2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mergeCells count="36">
    <mergeCell ref="C10:D11"/>
    <mergeCell ref="A12:D12"/>
    <mergeCell ref="I1:I12"/>
    <mergeCell ref="A9:B9"/>
    <mergeCell ref="C9:D9"/>
    <mergeCell ref="E9:F9"/>
    <mergeCell ref="H9:H10"/>
    <mergeCell ref="A10:B11"/>
    <mergeCell ref="H11:H12"/>
    <mergeCell ref="E12:G12"/>
    <mergeCell ref="E10:F11"/>
    <mergeCell ref="G10:G11"/>
    <mergeCell ref="E16:F21"/>
    <mergeCell ref="G16:H21"/>
    <mergeCell ref="I16:I21"/>
    <mergeCell ref="G26:H31"/>
    <mergeCell ref="I26:I31"/>
    <mergeCell ref="E26:F31"/>
    <mergeCell ref="E36:F41"/>
    <mergeCell ref="G36:H41"/>
    <mergeCell ref="I36:I41"/>
    <mergeCell ref="E46:F51"/>
    <mergeCell ref="G46:H51"/>
    <mergeCell ref="I46:I51"/>
    <mergeCell ref="G76:H81"/>
    <mergeCell ref="I76:I81"/>
    <mergeCell ref="E86:F91"/>
    <mergeCell ref="G86:H91"/>
    <mergeCell ref="I86:I91"/>
    <mergeCell ref="E56:F61"/>
    <mergeCell ref="G56:H61"/>
    <mergeCell ref="I56:I61"/>
    <mergeCell ref="E66:F71"/>
    <mergeCell ref="G66:H71"/>
    <mergeCell ref="I66:I71"/>
    <mergeCell ref="E76:F81"/>
  </mergeCells>
  <drawing r:id="rId1"/>
</worksheet>
</file>