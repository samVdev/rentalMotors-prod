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<sst xmlns="http://schemas.openxmlformats.org/spreadsheetml/2006/main" count="64" uniqueCount="41">
  <si>
    <t xml:space="preserve">PAGOS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</si>
  <si>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</si>
  <si>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</si>
  <si>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</si>
  <si>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</si>
  <si>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</si>
  <si>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</si>
  <si>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</si>
  <si>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A219782G</t>
  </si>
  <si>
    <t xml:space="preserve">BOXER 125</t>
  </si>
  <si>
    <t xml:space="preserve">BAJAJ</t>
  </si>
  <si>
    <t xml:space="preserve">DQY79I</t>
  </si>
  <si>
    <t xml:space="preserve">71B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</si>
  <si>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</si>
  <si>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</si>
  <si>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</si>
  <si>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</si>
  <si>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</si>
  <si>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</si>
  <si>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</si>
  <si>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</si>
  <si>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</si>
  <si>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APELLIDOS 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</si>
  <si>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</si>
  <si>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</si>
  <si>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</si>
  <si>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</si>
  <si>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</si>
  <si>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DEUDA DE SEMANA </t>
  </si>
  <si>
    <t xml:space="preserve">IBRAIN</t>
  </si>
  <si>
    <t xml:space="preserve">SUAREZ MUÑOZ</t>
  </si>
  <si>
    <t xml:space="preserve">COLOMBIANA</t>
  </si>
  <si>
    <t xml:space="preserve">ACTIVO 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</si>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</sst>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46BDC6"/>
      <name val="Arial"/>
      <family val="0"/>
      <charset val="1"/>
    </font>
    <font>
      <sz val="18"/>
      <color rgb="FF0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93C47D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FF6D01"/>
      </patternFill>
    </fill>
    <fill>
      <patternFill patternType="solid">
        <fgColor rgb="FF1155CC"/>
        <bgColor rgb="FF0077D9"/>
      </patternFill>
    </fill>
    <fill>
      <patternFill patternType="solid">
        <fgColor rgb="FF4285F4"/>
        <bgColor rgb="FF3D85C6"/>
      </patternFill>
    </fill>
    <fill>
      <patternFill patternType="solid">
        <fgColor rgb="FFFFFFFF"/>
        <bgColor rgb="FFF2F2F2"/>
      </patternFill>
    </fill>
    <fill>
      <patternFill patternType="solid">
        <fgColor rgb="FF134F5C"/>
        <bgColor rgb="FF333333"/>
      </patternFill>
    </fill>
    <fill>
      <patternFill patternType="solid">
        <fgColor rgb="FF93C47D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6D01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18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5" fontId="2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18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3C47D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101160</xdr:colOff>
      <xdr:row>0</xdr:row>
      <xdr:rowOff>9360</xdr:rowOff>
    </xdr:from>
    <xdr:to>
      <xdr:col>9</xdr:col>
      <xdr:colOff>239760</xdr:colOff>
      <xdr:row>13</xdr:row>
      <xdr:rowOff>199440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895400" y="9360"/>
          <a:ext cx="1856880" cy="2790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G19" activeCellId="0" sqref="G1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13"/>
    <col collapsed="false" customWidth="true" hidden="false" outlineLevel="0" max="2" min="2" style="0" width="18.5"/>
    <col collapsed="false" customWidth="true" hidden="false" outlineLevel="0" max="3" min="3" style="0" width="18.63"/>
    <col collapsed="false" customWidth="true" hidden="false" outlineLevel="0" max="4" min="4" style="0" width="17.63"/>
    <col collapsed="false" customWidth="true" hidden="false" outlineLevel="0" max="5" min="5" style="0" width="19"/>
    <col collapsed="false" customWidth="true" hidden="false" outlineLevel="0" max="6" min="6" style="0" width="19.75"/>
    <col collapsed="false" customWidth="true" hidden="false" outlineLevel="0" max="7" min="7" style="0" width="19.51"/>
    <col collapsed="false" customWidth="true" hidden="false" outlineLevel="0" max="8" min="8" style="0" width="21"/>
    <col collapsed="false" customWidth="true" hidden="false" outlineLevel="0" max="9" min="9" style="0" width="24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6" t="n">
        <v>2027</v>
      </c>
      <c r="D2" s="7" t="s">
        <v>10</v>
      </c>
      <c r="E2" s="8" t="s">
        <v>11</v>
      </c>
      <c r="F2" s="9" t="s">
        <v>12</v>
      </c>
      <c r="G2" s="10" t="n">
        <v>7535000</v>
      </c>
      <c r="H2" s="10" t="n">
        <v>4000000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4" t="n">
        <f aca="false">G2-H2</f>
        <v>3535000</v>
      </c>
      <c r="B5" s="14" t="n">
        <v>2.601</v>
      </c>
      <c r="C5" s="15" t="n">
        <f aca="false">A5*B5</f>
        <v>9194535</v>
      </c>
      <c r="D5" s="16" t="n">
        <v>18</v>
      </c>
      <c r="E5" s="17" t="n">
        <f aca="false">C5/D5</f>
        <v>510807.5</v>
      </c>
      <c r="F5" s="18" t="n">
        <f aca="false">E5/2</f>
        <v>255403.75</v>
      </c>
      <c r="G5" s="19" t="n">
        <f aca="false">E5/4</f>
        <v>127701.875</v>
      </c>
      <c r="H5" s="19" t="n">
        <f aca="false">G5/6</f>
        <v>21283.64583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3" t="s">
        <v>29</v>
      </c>
      <c r="B7" s="23" t="s">
        <v>30</v>
      </c>
      <c r="C7" s="24" t="n">
        <v>1051885274</v>
      </c>
      <c r="D7" s="23" t="s">
        <v>31</v>
      </c>
      <c r="E7" s="23" t="n">
        <v>3023976085</v>
      </c>
      <c r="F7" s="23" t="s">
        <v>32</v>
      </c>
      <c r="G7" s="23" t="s">
        <v>32</v>
      </c>
      <c r="H7" s="25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8"/>
      <c r="H8" s="29" t="s">
        <v>16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0" t="s">
        <v>33</v>
      </c>
      <c r="B9" s="30"/>
      <c r="C9" s="31" t="s">
        <v>34</v>
      </c>
      <c r="D9" s="31"/>
      <c r="E9" s="31" t="s">
        <v>35</v>
      </c>
      <c r="F9" s="31"/>
      <c r="G9" s="32" t="s">
        <v>36</v>
      </c>
      <c r="H9" s="29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3" t="n">
        <f aca="false">I16+I26</f>
        <v>511000</v>
      </c>
      <c r="B10" s="33"/>
      <c r="C10" s="34" t="n">
        <f aca="false">C5-A10</f>
        <v>8683535</v>
      </c>
      <c r="D10" s="34"/>
      <c r="E10" s="35" t="n">
        <f aca="false">C10+G10</f>
        <v>8683535</v>
      </c>
      <c r="F10" s="35"/>
      <c r="G10" s="36"/>
      <c r="H10" s="37" t="n">
        <f aca="false">I23+I33</f>
        <v>1</v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3"/>
      <c r="B11" s="33"/>
      <c r="C11" s="34"/>
      <c r="D11" s="34"/>
      <c r="E11" s="35"/>
      <c r="F11" s="35"/>
      <c r="G11" s="36"/>
      <c r="H11" s="37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8" t="s">
        <v>37</v>
      </c>
      <c r="B12" s="38"/>
      <c r="C12" s="38"/>
      <c r="D12" s="38"/>
      <c r="E12" s="39"/>
      <c r="F12" s="40"/>
      <c r="G12" s="40"/>
      <c r="H12" s="4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4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43"/>
      <c r="B14" s="43"/>
      <c r="C14" s="43"/>
      <c r="D14" s="43"/>
      <c r="E14" s="43"/>
      <c r="F14" s="43"/>
      <c r="G14" s="43"/>
      <c r="H14" s="43"/>
      <c r="I14" s="43"/>
      <c r="J14" s="44"/>
      <c r="K14" s="44"/>
      <c r="L14" s="44"/>
      <c r="M14" s="44"/>
      <c r="N14" s="44"/>
      <c r="O14" s="44"/>
      <c r="P14" s="44"/>
      <c r="Q14" s="44"/>
      <c r="R14" s="44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5" t="s">
        <v>38</v>
      </c>
      <c r="B15" s="45" t="s">
        <v>38</v>
      </c>
      <c r="C15" s="45" t="s">
        <v>39</v>
      </c>
      <c r="D15" s="45" t="s">
        <v>38</v>
      </c>
      <c r="E15" s="45" t="s">
        <v>38</v>
      </c>
      <c r="F15" s="45" t="s">
        <v>39</v>
      </c>
      <c r="G15" s="45" t="s">
        <v>38</v>
      </c>
      <c r="H15" s="45" t="s">
        <v>39</v>
      </c>
      <c r="I15" s="4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7"/>
      <c r="B16" s="48" t="n">
        <v>46132</v>
      </c>
      <c r="C16" s="48" t="n">
        <v>46139</v>
      </c>
      <c r="D16" s="48" t="n">
        <v>46146</v>
      </c>
      <c r="E16" s="48" t="n">
        <v>46153</v>
      </c>
      <c r="F16" s="49" t="n">
        <v>511000</v>
      </c>
      <c r="I16" s="50" t="n">
        <f aca="false">F22</f>
        <v>511000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7"/>
      <c r="B17" s="48" t="n">
        <v>46133</v>
      </c>
      <c r="C17" s="48" t="n">
        <v>46140</v>
      </c>
      <c r="D17" s="48" t="n">
        <v>46147</v>
      </c>
      <c r="E17" s="48" t="n">
        <v>46154</v>
      </c>
      <c r="F17" s="49"/>
      <c r="I17" s="5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7"/>
      <c r="B18" s="48" t="n">
        <v>46134</v>
      </c>
      <c r="C18" s="48" t="n">
        <v>46141</v>
      </c>
      <c r="D18" s="48" t="n">
        <v>46148</v>
      </c>
      <c r="E18" s="51" t="n">
        <v>46155</v>
      </c>
      <c r="F18" s="49"/>
      <c r="I18" s="5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8" t="n">
        <v>46128</v>
      </c>
      <c r="B19" s="48" t="n">
        <v>46135</v>
      </c>
      <c r="C19" s="48" t="n">
        <v>46142</v>
      </c>
      <c r="D19" s="48" t="n">
        <v>46149</v>
      </c>
      <c r="E19" s="48" t="n">
        <v>46156</v>
      </c>
      <c r="F19" s="49"/>
      <c r="I19" s="5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8" t="n">
        <v>46129</v>
      </c>
      <c r="B20" s="48" t="n">
        <v>46136</v>
      </c>
      <c r="C20" s="48" t="n">
        <v>46143</v>
      </c>
      <c r="D20" s="48" t="n">
        <v>46150</v>
      </c>
      <c r="E20" s="48" t="n">
        <v>46157</v>
      </c>
      <c r="F20" s="49"/>
      <c r="I20" s="5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8" hidden="false" customHeight="false" outlineLevel="0" collapsed="false">
      <c r="A21" s="48" t="n">
        <v>46130</v>
      </c>
      <c r="B21" s="48" t="n">
        <v>46137</v>
      </c>
      <c r="C21" s="48" t="n">
        <v>46144</v>
      </c>
      <c r="D21" s="48" t="n">
        <v>46151</v>
      </c>
      <c r="E21" s="48" t="n">
        <v>46158</v>
      </c>
      <c r="F21" s="49"/>
      <c r="I21" s="50"/>
      <c r="J21" s="3"/>
      <c r="K21" s="5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11"/>
      <c r="B22" s="53"/>
      <c r="C22" s="54"/>
      <c r="D22" s="53"/>
      <c r="E22" s="55"/>
      <c r="F22" s="56" t="n">
        <f aca="false">SUM(F16:F21)</f>
        <v>511000</v>
      </c>
      <c r="G22" s="56"/>
      <c r="H22" s="56"/>
      <c r="I22" s="57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58" t="s">
        <v>40</v>
      </c>
      <c r="B23" s="59"/>
      <c r="C23" s="58" t="s">
        <v>40</v>
      </c>
      <c r="D23" s="59"/>
      <c r="E23" s="58" t="s">
        <v>40</v>
      </c>
      <c r="F23" s="59"/>
      <c r="G23" s="58" t="s">
        <v>40</v>
      </c>
      <c r="H23" s="59"/>
      <c r="I23" s="60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45" t="s">
        <v>38</v>
      </c>
      <c r="B25" s="45" t="s">
        <v>38</v>
      </c>
      <c r="C25" s="45" t="s">
        <v>39</v>
      </c>
      <c r="D25" s="45" t="s">
        <v>38</v>
      </c>
      <c r="E25" s="45" t="s">
        <v>38</v>
      </c>
      <c r="F25" s="45" t="s">
        <v>39</v>
      </c>
      <c r="G25" s="45" t="s">
        <v>38</v>
      </c>
      <c r="H25" s="45" t="s">
        <v>39</v>
      </c>
      <c r="I25" s="4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8" t="n">
        <v>46160</v>
      </c>
      <c r="B26" s="48" t="n">
        <v>46167</v>
      </c>
      <c r="C26" s="48" t="n">
        <v>46174</v>
      </c>
      <c r="D26" s="48" t="n">
        <v>46181</v>
      </c>
      <c r="E26" s="48" t="n">
        <v>46188</v>
      </c>
      <c r="F26" s="61"/>
      <c r="G26" s="61"/>
      <c r="H26" s="61"/>
      <c r="I26" s="50" t="n">
        <f aca="false">G32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8" t="n">
        <v>46161</v>
      </c>
      <c r="B27" s="48" t="n">
        <v>46168</v>
      </c>
      <c r="C27" s="48" t="n">
        <v>46175</v>
      </c>
      <c r="D27" s="48" t="n">
        <v>46182</v>
      </c>
      <c r="E27" s="48" t="n">
        <v>46189</v>
      </c>
      <c r="F27" s="61"/>
      <c r="G27" s="61"/>
      <c r="H27" s="61"/>
      <c r="I27" s="5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8" t="n">
        <v>46162</v>
      </c>
      <c r="B28" s="48" t="n">
        <v>46169</v>
      </c>
      <c r="C28" s="48" t="n">
        <v>46176</v>
      </c>
      <c r="D28" s="48" t="n">
        <v>46183</v>
      </c>
      <c r="E28" s="48" t="n">
        <v>46190</v>
      </c>
      <c r="F28" s="61"/>
      <c r="G28" s="61"/>
      <c r="H28" s="61"/>
      <c r="I28" s="5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8" t="n">
        <v>46163</v>
      </c>
      <c r="B29" s="48" t="n">
        <v>46170</v>
      </c>
      <c r="C29" s="48" t="n">
        <v>46177</v>
      </c>
      <c r="D29" s="48" t="n">
        <v>46184</v>
      </c>
      <c r="E29" s="48" t="n">
        <v>46191</v>
      </c>
      <c r="F29" s="61"/>
      <c r="G29" s="61"/>
      <c r="H29" s="61"/>
      <c r="I29" s="5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8" t="n">
        <v>46164</v>
      </c>
      <c r="B30" s="48" t="n">
        <v>46171</v>
      </c>
      <c r="C30" s="48" t="n">
        <v>46178</v>
      </c>
      <c r="D30" s="48" t="n">
        <v>46185</v>
      </c>
      <c r="E30" s="48" t="n">
        <v>46192</v>
      </c>
      <c r="F30" s="61"/>
      <c r="G30" s="61"/>
      <c r="H30" s="61"/>
      <c r="I30" s="5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8" t="n">
        <v>46165</v>
      </c>
      <c r="B31" s="48" t="n">
        <v>46172</v>
      </c>
      <c r="C31" s="48" t="n">
        <v>46179</v>
      </c>
      <c r="D31" s="48" t="n">
        <v>46186</v>
      </c>
      <c r="E31" s="48" t="n">
        <v>46193</v>
      </c>
      <c r="F31" s="61"/>
      <c r="G31" s="61"/>
      <c r="H31" s="61"/>
      <c r="I31" s="50"/>
      <c r="J31" s="3"/>
      <c r="K31" s="5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11"/>
      <c r="B32" s="53"/>
      <c r="C32" s="54"/>
      <c r="D32" s="53"/>
      <c r="E32" s="55"/>
      <c r="F32" s="56" t="n">
        <f aca="false">SUM(F26:F31)</f>
        <v>0</v>
      </c>
      <c r="G32" s="56"/>
      <c r="H32" s="56"/>
      <c r="I32" s="57" t="n">
        <v>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58" t="s">
        <v>40</v>
      </c>
      <c r="B33" s="59"/>
      <c r="C33" s="58" t="s">
        <v>40</v>
      </c>
      <c r="D33" s="59"/>
      <c r="E33" s="58" t="s">
        <v>40</v>
      </c>
      <c r="F33" s="59"/>
      <c r="G33" s="58" t="s">
        <v>40</v>
      </c>
      <c r="H33" s="59"/>
      <c r="I33" s="6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3"/>
      <c r="B34" s="43"/>
      <c r="C34" s="43"/>
      <c r="D34" s="43"/>
      <c r="E34" s="43"/>
      <c r="F34" s="43"/>
      <c r="G34" s="43"/>
      <c r="H34" s="43"/>
      <c r="I34" s="4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20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A14:I14"/>
    <mergeCell ref="F16:F21"/>
    <mergeCell ref="I16:I21"/>
    <mergeCell ref="F22:H22"/>
    <mergeCell ref="A24:I24"/>
    <mergeCell ref="F26:H31"/>
    <mergeCell ref="I26:I31"/>
    <mergeCell ref="F32:H32"/>
    <mergeCell ref="A34:I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2026-06-05T19:28:19Z</dcterms:modified>
  <cp:revision>1</cp:revision>
  <dc:subject/>
  <dc:title/>
</cp:coreProperties>
</file>