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<sst xmlns="http://schemas.openxmlformats.org/spreadsheetml/2006/main" count="87" uniqueCount="47">
  <si>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</si>
  <si>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</si>
  <si>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</si>
  <si>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</si>
  <si>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</si>
  <si>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</si>
  <si>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</si>
  <si>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</si>
  <si>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A2194</t>
  </si>
  <si>
    <t>BOXER</t>
  </si>
  <si>
    <t>BAJA</t>
  </si>
  <si>
    <t>XYP40H</t>
  </si>
  <si>
    <t>50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</si>
  <si>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</si>
  <si>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</si>
  <si>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</si>
  <si>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</si>
  <si>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</si>
  <si>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</si>
  <si>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</si>
  <si>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</si>
  <si>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</si>
  <si>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</si>
  <si>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</si>
  <si>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</si>
  <si>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</si>
  <si>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</si>
  <si>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</si>
  <si>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</si>
  <si>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 xml:space="preserve">LUIS CARLOS </t>
  </si>
  <si>
    <t>CARVAJALINO ROCHA</t>
  </si>
  <si>
    <t>COLOBIANO</t>
  </si>
  <si>
    <t>ACTIVO</t>
  </si>
  <si>
    <t>SALDO ACTUAL PAGADO</t>
  </si>
  <si>
    <t>DEUDA  A PAGAR</t>
  </si>
  <si>
    <t xml:space="preserve">DEUDA TOTAL </t>
  </si>
  <si>
    <t>DEUDA  ADQUIRIDA</t>
  </si>
  <si>
    <t xml:space="preserve">MESES </t>
  </si>
  <si>
    <t>RENTAL MOTORS S.A.S</t>
  </si>
  <si>
    <t>FECHA</t>
  </si>
  <si>
    <t>ABONO</t>
  </si>
  <si>
    <t>REF,-</t>
  </si>
  <si>
    <t>M16408481</t>
  </si>
  <si>
    <t>M11929103</t>
  </si>
  <si>
    <t>M21536658</t>
  </si>
  <si>
    <t>M11759641</t>
  </si>
  <si>
    <t>M02086831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</si>
</sst>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</numFmts>
  <fonts count="2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2.0"/>
      <color theme="1"/>
      <name val="Arial"/>
    </font>
    <font>
      <b/>
      <sz val="12.0"/>
      <color rgb="FFFFFFFF"/>
      <name val="Nunito"/>
    </font>
    <font>
      <b/>
      <sz val="14.0"/>
      <color rgb="FF000000"/>
      <name val="Nunito"/>
    </font>
    <font>
      <b/>
      <sz val="14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b/>
      <sz val="11.0"/>
      <color rgb="FFF3F3F3"/>
      <name val="Arial"/>
    </font>
    <font>
      <color rgb="FFFFFFFF"/>
      <name val="Arial"/>
    </font>
    <font>
      <b/>
      <sz val="25.0"/>
      <color rgb="FFFFFFFF"/>
      <name val="Arial"/>
    </font>
    <font>
      <sz val="28.0"/>
      <color theme="1"/>
      <name val="Arial"/>
    </font>
    <font>
      <b/>
      <sz val="28.0"/>
      <color rgb="FF000000"/>
      <name val="Arial"/>
    </font>
    <font>
      <b/>
      <sz val="28.0"/>
      <color theme="1"/>
      <name val="Arial"/>
    </font>
    <font/>
    <font>
      <b/>
      <sz val="25.0"/>
      <color theme="1"/>
      <name val="Arial"/>
    </font>
    <font>
      <b/>
      <sz val="35.0"/>
      <color theme="1"/>
      <name val="Arial"/>
      <scheme val="minor"/>
    </font>
    <font>
      <color rgb="FF46BDC6"/>
      <name val="Arial"/>
    </font>
    <font>
      <sz val="35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4285F4"/>
        <bgColor rgb="FF4285F4"/>
      </patternFill>
    </fill>
    <fill>
      <patternFill patternType="solid">
        <fgColor rgb="FF999999"/>
        <bgColor rgb="FF999999"/>
      </patternFill>
    </fill>
    <fill>
      <patternFill patternType="solid">
        <fgColor rgb="FFFAF9F9"/>
        <bgColor rgb="FFFAF9F9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3" fontId="6" numFmtId="165" xfId="0" applyAlignment="1" applyBorder="1" applyFont="1" applyNumberFormat="1">
      <alignment horizontal="center" vertical="bottom"/>
    </xf>
    <xf borderId="1" fillId="3" fontId="6" numFmtId="3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3" fontId="6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shrinkToFit="0" vertical="bottom" wrapText="1"/>
    </xf>
    <xf borderId="0" fillId="8" fontId="10" numFmtId="0" xfId="0" applyAlignment="1" applyFont="1">
      <alignment horizontal="center" shrinkToFit="0" vertical="bottom" wrapText="1"/>
    </xf>
    <xf borderId="0" fillId="3" fontId="11" numFmtId="0" xfId="0" applyAlignment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0" fillId="9" fontId="4" numFmtId="0" xfId="0" applyAlignment="1" applyFill="1" applyFont="1">
      <alignment horizontal="center" readingOrder="0" vertical="bottom"/>
    </xf>
    <xf borderId="0" fillId="10" fontId="13" numFmtId="0" xfId="0" applyAlignment="1" applyFill="1" applyFont="1">
      <alignment horizontal="center" vertical="bottom"/>
    </xf>
    <xf borderId="0" fillId="11" fontId="14" numFmtId="0" xfId="0" applyAlignment="1" applyFill="1" applyFont="1">
      <alignment horizontal="center" vertical="bottom"/>
    </xf>
    <xf borderId="0" fillId="12" fontId="2" numFmtId="0" xfId="0" applyAlignment="1" applyFill="1" applyFont="1">
      <alignment vertical="bottom"/>
    </xf>
    <xf borderId="3" fillId="12" fontId="2" numFmtId="0" xfId="0" applyAlignment="1" applyBorder="1" applyFont="1">
      <alignment vertical="bottom"/>
    </xf>
    <xf borderId="0" fillId="13" fontId="2" numFmtId="164" xfId="0" applyAlignment="1" applyFill="1" applyFont="1" applyNumberFormat="1">
      <alignment vertical="bottom"/>
    </xf>
    <xf borderId="4" fillId="12" fontId="2" numFmtId="0" xfId="0" applyAlignment="1" applyBorder="1" applyFont="1">
      <alignment vertical="bottom"/>
    </xf>
    <xf borderId="0" fillId="5" fontId="13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15" numFmtId="0" xfId="0" applyAlignment="1" applyFont="1">
      <alignment horizontal="center" readingOrder="0" vertical="bottom"/>
    </xf>
    <xf borderId="0" fillId="5" fontId="15" numFmtId="4" xfId="0" applyAlignment="1" applyFont="1" applyNumberFormat="1">
      <alignment readingOrder="0" vertical="bottom"/>
    </xf>
    <xf borderId="5" fillId="4" fontId="16" numFmtId="4" xfId="0" applyAlignment="1" applyBorder="1" applyFont="1" applyNumberFormat="1">
      <alignment horizontal="center" readingOrder="0" vertical="bottom"/>
    </xf>
    <xf borderId="0" fillId="12" fontId="17" numFmtId="164" xfId="0" applyAlignment="1" applyFont="1" applyNumberFormat="1">
      <alignment horizontal="center" vertical="bottom"/>
    </xf>
    <xf borderId="0" fillId="14" fontId="18" numFmtId="164" xfId="0" applyAlignment="1" applyFill="1" applyFont="1" applyNumberFormat="1">
      <alignment horizontal="center" vertical="bottom"/>
    </xf>
    <xf borderId="0" fillId="14" fontId="19" numFmtId="164" xfId="0" applyAlignment="1" applyFont="1" applyNumberFormat="1">
      <alignment horizontal="center" vertical="bottom"/>
    </xf>
    <xf borderId="0" fillId="14" fontId="2" numFmtId="0" xfId="0" applyAlignment="1" applyFont="1">
      <alignment vertical="bottom"/>
    </xf>
    <xf borderId="5" fillId="0" fontId="20" numFmtId="0" xfId="0" applyBorder="1" applyFont="1"/>
    <xf borderId="5" fillId="12" fontId="21" numFmtId="0" xfId="0" applyAlignment="1" applyBorder="1" applyFont="1">
      <alignment horizontal="center" vertical="bottom"/>
    </xf>
    <xf borderId="0" fillId="15" fontId="13" numFmtId="0" xfId="0" applyAlignment="1" applyFill="1" applyFont="1">
      <alignment vertical="bottom"/>
    </xf>
    <xf borderId="6" fillId="15" fontId="2" numFmtId="0" xfId="0" applyAlignment="1" applyBorder="1" applyFont="1">
      <alignment vertical="bottom"/>
    </xf>
    <xf borderId="7" fillId="0" fontId="20" numFmtId="0" xfId="0" applyBorder="1" applyFont="1"/>
    <xf borderId="7" fillId="15" fontId="2" numFmtId="0" xfId="0" applyAlignment="1" applyBorder="1" applyFont="1">
      <alignment vertical="bottom"/>
    </xf>
    <xf borderId="8" fillId="0" fontId="20" numFmtId="0" xfId="0" applyBorder="1" applyFont="1"/>
    <xf borderId="0" fillId="12" fontId="2" numFmtId="0" xfId="0" applyAlignment="1" applyFont="1">
      <alignment horizontal="center" vertical="bottom"/>
    </xf>
    <xf borderId="0" fillId="12" fontId="11" numFmtId="0" xfId="0" applyAlignment="1" applyFont="1">
      <alignment horizontal="center" readingOrder="0" vertical="bottom"/>
    </xf>
    <xf borderId="0" fillId="6" fontId="11" numFmtId="166" xfId="0" applyAlignment="1" applyFont="1" applyNumberFormat="1">
      <alignment horizontal="center" vertical="bottom"/>
    </xf>
    <xf borderId="0" fillId="6" fontId="2" numFmtId="166" xfId="0" applyAlignment="1" applyFont="1" applyNumberFormat="1">
      <alignment horizontal="center" vertical="bottom"/>
    </xf>
    <xf borderId="0" fillId="0" fontId="22" numFmtId="164" xfId="0" applyAlignment="1" applyFont="1" applyNumberFormat="1">
      <alignment horizontal="center" readingOrder="0" vertical="center"/>
    </xf>
    <xf borderId="0" fillId="12" fontId="21" numFmtId="164" xfId="0" applyAlignment="1" applyFont="1" applyNumberFormat="1">
      <alignment horizontal="center" vertical="center"/>
    </xf>
    <xf borderId="0" fillId="11" fontId="2" numFmtId="166" xfId="0" applyAlignment="1" applyFont="1" applyNumberFormat="1">
      <alignment horizontal="center" vertical="bottom"/>
    </xf>
    <xf borderId="0" fillId="12" fontId="2" numFmtId="164" xfId="0" applyAlignment="1" applyFont="1" applyNumberFormat="1">
      <alignment vertical="bottom"/>
    </xf>
    <xf borderId="0" fillId="4" fontId="13" numFmtId="0" xfId="0" applyAlignment="1" applyFont="1">
      <alignment horizontal="center" readingOrder="0" vertical="bottom"/>
    </xf>
    <xf borderId="0" fillId="10" fontId="2" numFmtId="167" xfId="0" applyAlignment="1" applyFont="1" applyNumberFormat="1">
      <alignment vertical="bottom"/>
    </xf>
    <xf borderId="0" fillId="12" fontId="2" numFmtId="0" xfId="0" applyAlignment="1" applyFont="1">
      <alignment readingOrder="0" vertical="bottom"/>
    </xf>
    <xf borderId="0" fillId="10" fontId="4" numFmtId="167" xfId="0" applyAlignment="1" applyFont="1" applyNumberFormat="1">
      <alignment horizontal="center" readingOrder="0" vertical="bottom"/>
    </xf>
    <xf borderId="0" fillId="12" fontId="2" numFmtId="167" xfId="0" applyAlignment="1" applyFont="1" applyNumberFormat="1">
      <alignment vertical="bottom"/>
    </xf>
    <xf borderId="0" fillId="12" fontId="23" numFmtId="0" xfId="0" applyAlignment="1" applyFont="1">
      <alignment horizontal="center" readingOrder="0" vertical="bottom"/>
    </xf>
    <xf borderId="0" fillId="16" fontId="2" numFmtId="0" xfId="0" applyAlignment="1" applyFill="1" applyFont="1">
      <alignment vertical="bottom"/>
    </xf>
    <xf borderId="0" fillId="16" fontId="2" numFmtId="0" xfId="0" applyAlignment="1" applyFont="1">
      <alignment horizontal="center" vertical="bottom"/>
    </xf>
    <xf borderId="0" fillId="6" fontId="2" numFmtId="166" xfId="0" applyAlignment="1" applyFont="1" applyNumberFormat="1">
      <alignment horizontal="center" readingOrder="0" vertical="bottom"/>
    </xf>
    <xf borderId="0" fillId="10" fontId="2" numFmtId="0" xfId="0" applyAlignment="1" applyFont="1">
      <alignment vertical="bottom"/>
    </xf>
    <xf borderId="0" fillId="10" fontId="2" numFmtId="168" xfId="0" applyAlignment="1" applyFont="1" applyNumberFormat="1">
      <alignment vertical="bottom"/>
    </xf>
    <xf borderId="0" fillId="10" fontId="4" numFmtId="0" xfId="0" applyAlignment="1" applyFont="1">
      <alignment horizontal="center" readingOrder="0" vertical="bottom"/>
    </xf>
    <xf borderId="0" fillId="11" fontId="2" numFmtId="166" xfId="0" applyAlignment="1" applyFont="1" applyNumberFormat="1">
      <alignment horizontal="center" readingOrder="0" vertical="bottom"/>
    </xf>
    <xf borderId="0" fillId="0" fontId="24" numFmtId="164" xfId="0" applyAlignment="1" applyFont="1" applyNumberFormat="1">
      <alignment horizontal="center" readingOrder="0" vertical="center"/>
    </xf>
    <xf borderId="0" fillId="12" fontId="21" numFmtId="164" xfId="0" applyAlignment="1" applyFont="1" applyNumberFormat="1">
      <alignment horizontal="center" readingOrder="0" vertical="center"/>
    </xf>
    <xf borderId="0" fillId="17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0</xdr:row>
      <xdr:rowOff>0</xdr:rowOff>
    </xdr:from>
    <xdr:ext cx="1809750" cy="2676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19.0"/>
    <col customWidth="1" min="2" max="2" width="20.25"/>
    <col customWidth="1" min="3" max="3" width="20.75"/>
    <col customWidth="1" min="4" max="4" width="19.88"/>
    <col customWidth="1" min="5" max="5" width="21.0"/>
    <col customWidth="1" min="6" max="6" width="20.75"/>
    <col customWidth="1" min="7" max="7" width="17.88"/>
    <col customWidth="1" min="8" max="8" width="25.13"/>
    <col customWidth="1" min="9" max="9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>
        <v>2026.0</v>
      </c>
      <c r="D2" s="4" t="s">
        <v>10</v>
      </c>
      <c r="E2" s="6" t="s">
        <v>11</v>
      </c>
      <c r="F2" s="7" t="s">
        <v>12</v>
      </c>
      <c r="G2" s="8">
        <v>6800000.0</v>
      </c>
      <c r="H2" s="9">
        <v>800000.0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6000000</v>
      </c>
      <c r="B5" s="14">
        <f>A5*234.5%</f>
        <v>14070000</v>
      </c>
      <c r="C5" s="15">
        <f>A5+B5</f>
        <v>20070000</v>
      </c>
      <c r="D5" s="16">
        <v>36.0</v>
      </c>
      <c r="E5" s="17">
        <f>C5/D5</f>
        <v>557500</v>
      </c>
      <c r="F5" s="18">
        <f>E5/2</f>
        <v>278750</v>
      </c>
      <c r="G5" s="19">
        <f>E5/4+J70</f>
        <v>139375</v>
      </c>
      <c r="H5" s="19">
        <f>G5/6</f>
        <v>23229.16667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21</v>
      </c>
      <c r="B6" s="21" t="s">
        <v>22</v>
      </c>
      <c r="C6" s="21" t="s">
        <v>23</v>
      </c>
      <c r="D6" s="21" t="s">
        <v>24</v>
      </c>
      <c r="E6" s="21" t="s">
        <v>25</v>
      </c>
      <c r="F6" s="22" t="s">
        <v>26</v>
      </c>
      <c r="G6" s="23" t="s">
        <v>27</v>
      </c>
      <c r="H6" s="23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4" t="s">
        <v>29</v>
      </c>
      <c r="B7" s="24" t="s">
        <v>30</v>
      </c>
      <c r="C7" s="25">
        <v>8851637.0</v>
      </c>
      <c r="D7" s="24" t="s">
        <v>31</v>
      </c>
      <c r="E7" s="26">
        <v>3.239902202E9</v>
      </c>
      <c r="F7" s="27" t="s">
        <v>32</v>
      </c>
      <c r="G7" s="27" t="s">
        <v>32</v>
      </c>
      <c r="H7" s="28">
        <v>0.0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9"/>
      <c r="B8" s="29"/>
      <c r="C8" s="29"/>
      <c r="D8" s="29"/>
      <c r="E8" s="30"/>
      <c r="F8" s="31"/>
      <c r="G8" s="31"/>
      <c r="H8" s="3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33</v>
      </c>
      <c r="C9" s="34" t="s">
        <v>34</v>
      </c>
      <c r="E9" s="35" t="s">
        <v>35</v>
      </c>
      <c r="G9" s="36" t="s">
        <v>36</v>
      </c>
      <c r="H9" s="37" t="s">
        <v>37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8">
        <f>I16+I26+I36+I46+I56+I66+I76</f>
        <v>3008900</v>
      </c>
      <c r="C10" s="39">
        <f>C5-A10</f>
        <v>17061100</v>
      </c>
      <c r="E10" s="40">
        <f>C10+G10</f>
        <v>17061100</v>
      </c>
      <c r="G10" s="41"/>
      <c r="H10" s="4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3">
        <f>I23+I33+I43+I53+I63+I73+I83</f>
        <v>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4" t="s">
        <v>38</v>
      </c>
      <c r="E12" s="45"/>
      <c r="F12" s="46"/>
      <c r="G12" s="47"/>
      <c r="H12" s="4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9" t="s">
        <v>39</v>
      </c>
      <c r="B15" s="49" t="s">
        <v>39</v>
      </c>
      <c r="C15" s="49" t="s">
        <v>39</v>
      </c>
      <c r="D15" s="49" t="s">
        <v>39</v>
      </c>
      <c r="E15" s="50" t="s">
        <v>40</v>
      </c>
      <c r="I15" s="29"/>
      <c r="J15" s="3"/>
      <c r="K15" s="3"/>
      <c r="V15" s="3"/>
      <c r="W15" s="3"/>
      <c r="X15" s="3"/>
      <c r="Y15" s="3"/>
      <c r="Z15" s="3"/>
    </row>
    <row r="16">
      <c r="A16" s="51">
        <v>45992.0</v>
      </c>
      <c r="B16" s="51">
        <v>45999.0</v>
      </c>
      <c r="C16" s="52">
        <v>46006.0</v>
      </c>
      <c r="D16" s="52">
        <v>46013.0</v>
      </c>
      <c r="E16" s="53">
        <v>551000.0</v>
      </c>
      <c r="I16" s="54">
        <f>E16</f>
        <v>551000</v>
      </c>
      <c r="J16" s="3"/>
      <c r="K16" s="3"/>
      <c r="V16" s="3"/>
      <c r="W16" s="3"/>
      <c r="X16" s="3"/>
      <c r="Y16" s="3"/>
      <c r="Z16" s="3"/>
    </row>
    <row r="17">
      <c r="A17" s="51">
        <v>45993.0</v>
      </c>
      <c r="B17" s="51">
        <v>46000.0</v>
      </c>
      <c r="C17" s="52">
        <v>46007.0</v>
      </c>
      <c r="D17" s="52">
        <v>46014.0</v>
      </c>
      <c r="J17" s="3"/>
      <c r="K17" s="3"/>
      <c r="V17" s="3"/>
      <c r="W17" s="3"/>
      <c r="X17" s="3"/>
      <c r="Y17" s="3"/>
      <c r="Z17" s="3"/>
    </row>
    <row r="18">
      <c r="A18" s="51">
        <v>45994.0</v>
      </c>
      <c r="B18" s="51">
        <v>46001.0</v>
      </c>
      <c r="C18" s="52">
        <v>46008.0</v>
      </c>
      <c r="D18" s="52">
        <v>46015.0</v>
      </c>
      <c r="J18" s="3"/>
      <c r="K18" s="3"/>
      <c r="V18" s="3"/>
      <c r="W18" s="3"/>
      <c r="X18" s="3"/>
      <c r="Y18" s="3"/>
      <c r="Z18" s="3"/>
    </row>
    <row r="19">
      <c r="A19" s="51">
        <v>45995.0</v>
      </c>
      <c r="B19" s="51">
        <v>46002.0</v>
      </c>
      <c r="C19" s="52">
        <v>46009.0</v>
      </c>
      <c r="D19" s="52">
        <v>46016.0</v>
      </c>
      <c r="J19" s="3"/>
      <c r="K19" s="3"/>
      <c r="V19" s="3"/>
      <c r="W19" s="3"/>
      <c r="X19" s="3"/>
      <c r="Y19" s="3"/>
      <c r="Z19" s="3"/>
    </row>
    <row r="20">
      <c r="A20" s="51">
        <v>45996.0</v>
      </c>
      <c r="B20" s="51">
        <v>46003.0</v>
      </c>
      <c r="C20" s="52">
        <v>46010.0</v>
      </c>
      <c r="D20" s="52">
        <v>46017.0</v>
      </c>
      <c r="J20" s="3"/>
      <c r="K20" s="3"/>
      <c r="V20" s="3"/>
      <c r="W20" s="3"/>
      <c r="X20" s="3"/>
      <c r="Y20" s="3"/>
      <c r="Z20" s="3"/>
    </row>
    <row r="21">
      <c r="A21" s="51">
        <v>45997.0</v>
      </c>
      <c r="B21" s="51">
        <v>46004.0</v>
      </c>
      <c r="C21" s="55">
        <v>46011.0</v>
      </c>
      <c r="D21" s="52">
        <v>46018.0</v>
      </c>
      <c r="J21" s="3"/>
      <c r="K21" s="3"/>
      <c r="V21" s="3"/>
      <c r="W21" s="3"/>
      <c r="X21" s="3"/>
      <c r="Y21" s="3"/>
      <c r="Z21" s="3"/>
    </row>
    <row r="22">
      <c r="A22" s="29"/>
      <c r="B22" s="56"/>
      <c r="C22" s="29"/>
      <c r="D22" s="56"/>
      <c r="E22" s="29"/>
      <c r="F22" s="56"/>
      <c r="G22" s="29"/>
      <c r="H22" s="56"/>
      <c r="I22" s="57">
        <v>1.0</v>
      </c>
      <c r="J22" s="3"/>
      <c r="K22" s="3"/>
      <c r="V22" s="3"/>
      <c r="W22" s="3"/>
      <c r="X22" s="3"/>
      <c r="Y22" s="3"/>
      <c r="Z22" s="3"/>
    </row>
    <row r="23">
      <c r="A23" s="29"/>
      <c r="B23" s="58"/>
      <c r="C23" s="29"/>
      <c r="D23" s="58"/>
      <c r="E23" s="59" t="s">
        <v>41</v>
      </c>
      <c r="F23" s="60" t="s">
        <v>42</v>
      </c>
      <c r="H23" s="61"/>
      <c r="I23" s="62">
        <v>1.0</v>
      </c>
      <c r="J23" s="3"/>
      <c r="K23" s="3"/>
      <c r="V23" s="3"/>
      <c r="W23" s="3"/>
      <c r="X23" s="3"/>
      <c r="Y23" s="3"/>
      <c r="Z23" s="3"/>
    </row>
    <row r="24">
      <c r="A24" s="63"/>
      <c r="B24" s="63"/>
      <c r="C24" s="63"/>
      <c r="D24" s="63"/>
      <c r="E24" s="63"/>
      <c r="F24" s="63"/>
      <c r="G24" s="63"/>
      <c r="H24" s="63"/>
      <c r="I24" s="64"/>
      <c r="J24" s="3"/>
      <c r="K24" s="3"/>
      <c r="V24" s="3"/>
      <c r="W24" s="3"/>
      <c r="X24" s="3"/>
      <c r="Y24" s="3"/>
      <c r="Z24" s="3"/>
    </row>
    <row r="25">
      <c r="A25" s="49" t="s">
        <v>39</v>
      </c>
      <c r="B25" s="49" t="s">
        <v>39</v>
      </c>
      <c r="C25" s="49" t="s">
        <v>39</v>
      </c>
      <c r="D25" s="49" t="s">
        <v>39</v>
      </c>
      <c r="E25" s="50" t="s">
        <v>40</v>
      </c>
      <c r="I25" s="49"/>
      <c r="J25" s="3"/>
      <c r="K25" s="3"/>
      <c r="V25" s="3"/>
      <c r="W25" s="3"/>
      <c r="X25" s="3"/>
      <c r="Y25" s="3"/>
      <c r="Z25" s="3"/>
    </row>
    <row r="26">
      <c r="A26" s="65">
        <v>46020.0</v>
      </c>
      <c r="B26" s="65">
        <v>46027.0</v>
      </c>
      <c r="C26" s="65">
        <v>46034.0</v>
      </c>
      <c r="D26" s="65">
        <v>46041.0</v>
      </c>
      <c r="E26" s="53">
        <v>614600.0</v>
      </c>
      <c r="I26" s="54">
        <f>E26</f>
        <v>614600</v>
      </c>
      <c r="J26" s="3"/>
      <c r="K26" s="3"/>
      <c r="V26" s="3"/>
      <c r="W26" s="3"/>
      <c r="X26" s="3"/>
      <c r="Y26" s="3"/>
      <c r="Z26" s="3"/>
    </row>
    <row r="27">
      <c r="A27" s="65">
        <v>46021.0</v>
      </c>
      <c r="B27" s="65">
        <v>46028.0</v>
      </c>
      <c r="C27" s="65">
        <v>46035.0</v>
      </c>
      <c r="D27" s="65">
        <v>46042.0</v>
      </c>
      <c r="J27" s="3"/>
      <c r="K27" s="3"/>
      <c r="V27" s="3"/>
      <c r="W27" s="3"/>
      <c r="X27" s="3"/>
      <c r="Y27" s="3"/>
      <c r="Z27" s="3"/>
    </row>
    <row r="28">
      <c r="A28" s="65">
        <v>46022.0</v>
      </c>
      <c r="B28" s="65">
        <v>46029.0</v>
      </c>
      <c r="C28" s="65">
        <v>46036.0</v>
      </c>
      <c r="D28" s="65">
        <v>46043.0</v>
      </c>
      <c r="J28" s="3"/>
      <c r="K28" s="3"/>
      <c r="V28" s="3"/>
      <c r="W28" s="3"/>
      <c r="X28" s="3"/>
      <c r="Y28" s="3"/>
      <c r="Z28" s="3"/>
    </row>
    <row r="29">
      <c r="A29" s="65">
        <v>46023.0</v>
      </c>
      <c r="B29" s="65">
        <v>46030.0</v>
      </c>
      <c r="C29" s="65">
        <v>46037.0</v>
      </c>
      <c r="D29" s="65">
        <v>46044.0</v>
      </c>
      <c r="J29" s="3"/>
      <c r="K29" s="3"/>
      <c r="V29" s="3"/>
      <c r="W29" s="3"/>
      <c r="X29" s="3"/>
      <c r="Y29" s="3"/>
      <c r="Z29" s="3"/>
    </row>
    <row r="30">
      <c r="A30" s="65">
        <v>46024.0</v>
      </c>
      <c r="B30" s="65">
        <v>46031.0</v>
      </c>
      <c r="C30" s="65">
        <v>46038.0</v>
      </c>
      <c r="D30" s="65">
        <v>46045.0</v>
      </c>
      <c r="J30" s="3"/>
      <c r="K30" s="3"/>
      <c r="V30" s="3"/>
      <c r="W30" s="3"/>
      <c r="X30" s="3"/>
      <c r="Y30" s="3"/>
      <c r="Z30" s="3"/>
    </row>
    <row r="31">
      <c r="A31" s="65">
        <v>46025.0</v>
      </c>
      <c r="B31" s="65">
        <v>46032.0</v>
      </c>
      <c r="C31" s="65">
        <v>46039.0</v>
      </c>
      <c r="D31" s="65">
        <v>46046.0</v>
      </c>
      <c r="J31" s="3"/>
      <c r="K31" s="3"/>
      <c r="V31" s="3"/>
      <c r="W31" s="3"/>
      <c r="X31" s="3"/>
      <c r="Y31" s="3"/>
      <c r="Z31" s="3"/>
    </row>
    <row r="32">
      <c r="A32" s="29"/>
      <c r="B32" s="56"/>
      <c r="C32" s="29"/>
      <c r="D32" s="56"/>
      <c r="E32" s="29"/>
      <c r="F32" s="56"/>
      <c r="G32" s="29"/>
      <c r="H32" s="56"/>
      <c r="I32" s="57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9"/>
      <c r="B33" s="66"/>
      <c r="C33" s="29"/>
      <c r="D33" s="67"/>
      <c r="E33" s="59" t="s">
        <v>41</v>
      </c>
      <c r="F33" s="68" t="s">
        <v>43</v>
      </c>
      <c r="H33" s="29"/>
      <c r="I33" s="62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3"/>
      <c r="B34" s="63"/>
      <c r="C34" s="63"/>
      <c r="D34" s="63"/>
      <c r="E34" s="63"/>
      <c r="F34" s="63"/>
      <c r="G34" s="63"/>
      <c r="H34" s="63"/>
      <c r="I34" s="6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9" t="s">
        <v>39</v>
      </c>
      <c r="B35" s="49" t="s">
        <v>39</v>
      </c>
      <c r="C35" s="49" t="s">
        <v>39</v>
      </c>
      <c r="D35" s="49" t="s">
        <v>39</v>
      </c>
      <c r="E35" s="50" t="s">
        <v>40</v>
      </c>
      <c r="I35" s="4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9">
        <v>46048.0</v>
      </c>
      <c r="B36" s="65">
        <v>46055.0</v>
      </c>
      <c r="C36" s="65">
        <v>46062.0</v>
      </c>
      <c r="D36" s="65">
        <v>46069.0</v>
      </c>
      <c r="E36" s="53">
        <v>614600.0</v>
      </c>
      <c r="I36" s="54">
        <f>E36</f>
        <v>614600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5">
        <v>46049.0</v>
      </c>
      <c r="B37" s="65">
        <v>46056.0</v>
      </c>
      <c r="C37" s="65">
        <v>46063.0</v>
      </c>
      <c r="D37" s="65">
        <v>46070.0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5">
        <v>46050.0</v>
      </c>
      <c r="B38" s="65">
        <v>46057.0</v>
      </c>
      <c r="C38" s="65">
        <v>46064.0</v>
      </c>
      <c r="D38" s="65">
        <v>46071.0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5">
        <v>46051.0</v>
      </c>
      <c r="B39" s="65">
        <v>46058.0</v>
      </c>
      <c r="C39" s="65">
        <v>46065.0</v>
      </c>
      <c r="D39" s="65">
        <v>46072.0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5">
        <v>46052.0</v>
      </c>
      <c r="B40" s="65">
        <v>46059.0</v>
      </c>
      <c r="C40" s="65">
        <v>46066.0</v>
      </c>
      <c r="D40" s="65">
        <v>46073.0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5">
        <v>46053.0</v>
      </c>
      <c r="B41" s="65">
        <v>46060.0</v>
      </c>
      <c r="C41" s="65">
        <v>46067.0</v>
      </c>
      <c r="D41" s="65">
        <v>46074.0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9"/>
      <c r="B42" s="56"/>
      <c r="C42" s="29"/>
      <c r="D42" s="56"/>
      <c r="E42" s="29"/>
      <c r="F42" s="56"/>
      <c r="G42" s="29"/>
      <c r="H42" s="56"/>
      <c r="I42" s="57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9"/>
      <c r="B43" s="66"/>
      <c r="C43" s="29"/>
      <c r="D43" s="66"/>
      <c r="E43" s="29"/>
      <c r="F43" s="68" t="s">
        <v>44</v>
      </c>
      <c r="H43" s="29"/>
      <c r="I43" s="62">
        <v>1.0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9" t="s">
        <v>39</v>
      </c>
      <c r="B45" s="49" t="s">
        <v>39</v>
      </c>
      <c r="C45" s="49" t="s">
        <v>39</v>
      </c>
      <c r="D45" s="49" t="s">
        <v>39</v>
      </c>
      <c r="E45" s="50" t="s">
        <v>40</v>
      </c>
      <c r="I45" s="2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5">
        <v>46076.0</v>
      </c>
      <c r="B46" s="65">
        <v>46083.0</v>
      </c>
      <c r="C46" s="65">
        <v>46090.0</v>
      </c>
      <c r="D46" s="65">
        <v>46097.0</v>
      </c>
      <c r="E46" s="53">
        <v>614100.0</v>
      </c>
      <c r="I46" s="54">
        <f>E46</f>
        <v>614100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5">
        <v>46077.0</v>
      </c>
      <c r="B47" s="65">
        <v>46084.0</v>
      </c>
      <c r="C47" s="65">
        <v>46091.0</v>
      </c>
      <c r="D47" s="65">
        <v>46098.0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5">
        <v>46078.0</v>
      </c>
      <c r="B48" s="65">
        <v>46085.0</v>
      </c>
      <c r="C48" s="65">
        <v>46092.0</v>
      </c>
      <c r="D48" s="65">
        <v>46099.0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5">
        <v>46079.0</v>
      </c>
      <c r="B49" s="65">
        <v>46086.0</v>
      </c>
      <c r="C49" s="65">
        <v>46093.0</v>
      </c>
      <c r="D49" s="65">
        <v>46100.0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5">
        <v>46080.0</v>
      </c>
      <c r="B50" s="65">
        <v>46087.0</v>
      </c>
      <c r="C50" s="65">
        <v>46094.0</v>
      </c>
      <c r="D50" s="65">
        <v>46101.0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9">
        <v>46081.0</v>
      </c>
      <c r="B51" s="65">
        <v>46088.0</v>
      </c>
      <c r="C51" s="65">
        <v>46095.0</v>
      </c>
      <c r="D51" s="65">
        <v>46102.0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9"/>
      <c r="B52" s="56"/>
      <c r="C52" s="29"/>
      <c r="D52" s="56"/>
      <c r="E52" s="29"/>
      <c r="F52" s="56"/>
      <c r="G52" s="29"/>
      <c r="H52" s="56"/>
      <c r="I52" s="57">
        <v>4.0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9"/>
      <c r="B53" s="66"/>
      <c r="C53" s="29"/>
      <c r="D53" s="66"/>
      <c r="E53" s="29"/>
      <c r="F53" s="68" t="s">
        <v>45</v>
      </c>
      <c r="H53" s="29"/>
      <c r="I53" s="62">
        <v>1.0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9" t="s">
        <v>39</v>
      </c>
      <c r="B55" s="49" t="s">
        <v>39</v>
      </c>
      <c r="C55" s="49" t="s">
        <v>39</v>
      </c>
      <c r="D55" s="49" t="s">
        <v>39</v>
      </c>
      <c r="E55" s="50" t="s">
        <v>40</v>
      </c>
      <c r="I55" s="2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5">
        <v>46104.0</v>
      </c>
      <c r="B56" s="65">
        <v>46111.0</v>
      </c>
      <c r="C56" s="65">
        <v>46118.0</v>
      </c>
      <c r="D56" s="65">
        <v>46125.0</v>
      </c>
      <c r="E56" s="53">
        <v>614600.0</v>
      </c>
      <c r="I56" s="54">
        <f>E56</f>
        <v>614600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5">
        <v>46105.0</v>
      </c>
      <c r="B57" s="65">
        <v>46112.0</v>
      </c>
      <c r="C57" s="65">
        <v>46119.0</v>
      </c>
      <c r="D57" s="65">
        <v>46126.0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5">
        <v>46106.0</v>
      </c>
      <c r="B58" s="69">
        <v>46113.0</v>
      </c>
      <c r="C58" s="65">
        <v>46120.0</v>
      </c>
      <c r="D58" s="65">
        <v>46127.0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5">
        <v>46107.0</v>
      </c>
      <c r="B59" s="65">
        <v>46114.0</v>
      </c>
      <c r="C59" s="65">
        <v>46121.0</v>
      </c>
      <c r="D59" s="65">
        <v>46128.0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5">
        <v>46108.0</v>
      </c>
      <c r="B60" s="65">
        <v>46115.0</v>
      </c>
      <c r="C60" s="65">
        <v>46122.0</v>
      </c>
      <c r="D60" s="65">
        <v>46129.0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5">
        <v>46109.0</v>
      </c>
      <c r="B61" s="65">
        <v>46116.0</v>
      </c>
      <c r="C61" s="65">
        <v>46123.0</v>
      </c>
      <c r="D61" s="65">
        <v>46130.0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9"/>
      <c r="B62" s="56"/>
      <c r="C62" s="29"/>
      <c r="D62" s="56"/>
      <c r="E62" s="29"/>
      <c r="F62" s="56"/>
      <c r="G62" s="29"/>
      <c r="H62" s="56"/>
      <c r="I62" s="57">
        <v>5.0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9"/>
      <c r="B63" s="66"/>
      <c r="C63" s="29"/>
      <c r="D63" s="66"/>
      <c r="E63" s="29"/>
      <c r="F63" s="68" t="s">
        <v>46</v>
      </c>
      <c r="H63" s="29"/>
      <c r="I63" s="62">
        <v>1.0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9" t="s">
        <v>39</v>
      </c>
      <c r="B65" s="49" t="s">
        <v>39</v>
      </c>
      <c r="C65" s="49" t="s">
        <v>39</v>
      </c>
      <c r="D65" s="49" t="s">
        <v>39</v>
      </c>
      <c r="E65" s="50" t="s">
        <v>40</v>
      </c>
      <c r="I65" s="2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5">
        <v>46132.0</v>
      </c>
      <c r="B66" s="65">
        <v>46139.0</v>
      </c>
      <c r="C66" s="65">
        <v>46146.0</v>
      </c>
      <c r="D66" s="65">
        <v>46153.0</v>
      </c>
      <c r="E66" s="70"/>
      <c r="I66" s="71">
        <v>0.0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5">
        <v>46133.0</v>
      </c>
      <c r="B67" s="65">
        <v>46140.0</v>
      </c>
      <c r="C67" s="65">
        <v>46147.0</v>
      </c>
      <c r="D67" s="65">
        <v>46154.0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5">
        <v>46134.0</v>
      </c>
      <c r="B68" s="65">
        <v>46141.0</v>
      </c>
      <c r="C68" s="65">
        <v>46148.0</v>
      </c>
      <c r="D68" s="65">
        <v>46155.0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5">
        <v>46135.0</v>
      </c>
      <c r="B69" s="65">
        <v>46142.0</v>
      </c>
      <c r="C69" s="65">
        <v>46149.0</v>
      </c>
      <c r="D69" s="65">
        <v>46156.0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5">
        <v>46136.0</v>
      </c>
      <c r="B70" s="65">
        <v>46143.0</v>
      </c>
      <c r="C70" s="65">
        <v>46150.0</v>
      </c>
      <c r="D70" s="65">
        <v>46157.0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5">
        <v>46137.0</v>
      </c>
      <c r="B71" s="69">
        <v>46144.0</v>
      </c>
      <c r="C71" s="65">
        <v>46151.0</v>
      </c>
      <c r="D71" s="65">
        <v>46158.0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9"/>
      <c r="B72" s="56"/>
      <c r="C72" s="29"/>
      <c r="D72" s="56"/>
      <c r="E72" s="29"/>
      <c r="F72" s="56"/>
      <c r="G72" s="29"/>
      <c r="H72" s="56"/>
      <c r="I72" s="57">
        <v>6.0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9"/>
      <c r="B73" s="66"/>
      <c r="C73" s="29"/>
      <c r="D73" s="66"/>
      <c r="E73" s="29"/>
      <c r="F73" s="66"/>
      <c r="H73" s="29"/>
      <c r="I73" s="6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9" t="s">
        <v>39</v>
      </c>
      <c r="B75" s="49" t="s">
        <v>39</v>
      </c>
      <c r="C75" s="49" t="s">
        <v>39</v>
      </c>
      <c r="D75" s="49" t="s">
        <v>39</v>
      </c>
      <c r="E75" s="50" t="s">
        <v>40</v>
      </c>
      <c r="I75" s="2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5">
        <v>46160.0</v>
      </c>
      <c r="B76" s="65">
        <v>46167.0</v>
      </c>
      <c r="C76" s="65">
        <v>46174.0</v>
      </c>
      <c r="D76" s="65">
        <v>46181.0</v>
      </c>
      <c r="E76" s="70"/>
      <c r="I76" s="71">
        <v>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5">
        <v>46161.0</v>
      </c>
      <c r="B77" s="65">
        <v>46168.0</v>
      </c>
      <c r="C77" s="65">
        <v>46175.0</v>
      </c>
      <c r="D77" s="65">
        <v>46182.0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5">
        <v>46162.0</v>
      </c>
      <c r="B78" s="65">
        <v>46169.0</v>
      </c>
      <c r="C78" s="65">
        <v>46176.0</v>
      </c>
      <c r="D78" s="65">
        <v>46183.0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5">
        <v>46163.0</v>
      </c>
      <c r="B79" s="65">
        <v>46170.0</v>
      </c>
      <c r="C79" s="65">
        <v>46177.0</v>
      </c>
      <c r="D79" s="65">
        <v>46184.0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5">
        <v>46164.0</v>
      </c>
      <c r="B80" s="65">
        <v>46171.0</v>
      </c>
      <c r="C80" s="65">
        <v>46178.0</v>
      </c>
      <c r="D80" s="65">
        <v>46185.0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5">
        <v>46165.0</v>
      </c>
      <c r="B81" s="65">
        <v>46172.0</v>
      </c>
      <c r="C81" s="65">
        <v>46179.0</v>
      </c>
      <c r="D81" s="65">
        <v>46186.0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9"/>
      <c r="B82" s="56"/>
      <c r="C82" s="29"/>
      <c r="D82" s="56"/>
      <c r="E82" s="29"/>
      <c r="F82" s="56"/>
      <c r="G82" s="29"/>
      <c r="H82" s="56"/>
      <c r="I82" s="57">
        <v>7.0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9"/>
      <c r="B83" s="66"/>
      <c r="C83" s="29"/>
      <c r="D83" s="66"/>
      <c r="E83" s="29"/>
      <c r="F83" s="66"/>
      <c r="H83" s="29"/>
      <c r="I83" s="6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9" t="s">
        <v>39</v>
      </c>
      <c r="B85" s="49" t="s">
        <v>39</v>
      </c>
      <c r="C85" s="49" t="s">
        <v>39</v>
      </c>
      <c r="D85" s="49" t="s">
        <v>39</v>
      </c>
      <c r="E85" s="50" t="s">
        <v>40</v>
      </c>
      <c r="I85" s="2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</sheetData>
  <mergeCells count="41">
    <mergeCell ref="C10:D11"/>
    <mergeCell ref="A12:D12"/>
    <mergeCell ref="I1:I12"/>
    <mergeCell ref="A9:B9"/>
    <mergeCell ref="C9:D9"/>
    <mergeCell ref="E9:F9"/>
    <mergeCell ref="H9:H10"/>
    <mergeCell ref="A10:B11"/>
    <mergeCell ref="H11:H12"/>
    <mergeCell ref="E12:F12"/>
    <mergeCell ref="E10:F11"/>
    <mergeCell ref="G10:G11"/>
    <mergeCell ref="E15:H15"/>
    <mergeCell ref="E16:H21"/>
    <mergeCell ref="I16:I21"/>
    <mergeCell ref="F23:G23"/>
    <mergeCell ref="E25:H25"/>
    <mergeCell ref="E26:H31"/>
    <mergeCell ref="I26:I31"/>
    <mergeCell ref="F33:G33"/>
    <mergeCell ref="E35:H35"/>
    <mergeCell ref="E36:H41"/>
    <mergeCell ref="I36:I41"/>
    <mergeCell ref="F43:G43"/>
    <mergeCell ref="E45:H45"/>
    <mergeCell ref="E46:H51"/>
    <mergeCell ref="I46:I51"/>
    <mergeCell ref="F53:G53"/>
    <mergeCell ref="E55:H55"/>
    <mergeCell ref="E56:H61"/>
    <mergeCell ref="I56:I61"/>
    <mergeCell ref="E76:H81"/>
    <mergeCell ref="F83:G83"/>
    <mergeCell ref="E85:H85"/>
    <mergeCell ref="F63:G63"/>
    <mergeCell ref="E65:H65"/>
    <mergeCell ref="E66:H71"/>
    <mergeCell ref="I66:I71"/>
    <mergeCell ref="F73:G73"/>
    <mergeCell ref="E75:H75"/>
    <mergeCell ref="I76:I81"/>
  </mergeCells>
  <drawing r:id="rId1"/>
</worksheet>
</file>