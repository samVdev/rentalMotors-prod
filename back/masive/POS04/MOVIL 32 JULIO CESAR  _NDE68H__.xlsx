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MOVIL 32" sheetId="2" state="visible" r:id="rId3"/>
    <sheet name="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0"/>
            <color rgb="FF000000"/>
            <rFont val="Arial"/>
            <family val="0"/>
            <charset val="1"/>
          </rPr>
          <t xml:space="preserve">Add any tags in this column to help you quickly identify different entries
</t>
        </r>
      </text>
    </comment>
  </commentList>
</comments>
</file>

<file path=xl/sharedStrings.xml><?xml version="1.0" encoding="utf-8"?>
<sst xmlns="http://schemas.openxmlformats.org/spreadsheetml/2006/main" count="278" uniqueCount="77">
  <si>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</si>
  <si>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</si>
  <si>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</si>
  <si>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</si>
  <si>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</si>
  <si>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</si>
  <si>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</si>
  <si>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</si>
  <si>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</si>
  <si>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SBR</t>
  </si>
  <si>
    <t xml:space="preserve">BERA</t>
  </si>
  <si>
    <t xml:space="preserve">NDE68H-</t>
  </si>
  <si>
    <t xml:space="preserve">32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</si>
  <si>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</si>
  <si>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</si>
  <si>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</si>
  <si>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</si>
  <si>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</si>
  <si>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</si>
  <si>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</si>
  <si>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</si>
  <si>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</si>
  <si>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</si>
  <si>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P.P.T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</si>
  <si>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</si>
  <si>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</si>
  <si>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</si>
  <si>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</si>
  <si>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</si>
  <si>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JULIO CESAR </t>
  </si>
  <si>
    <t xml:space="preserve">HERNANDEZ 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</si>
  <si>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</si>
  <si>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</si>
  <si>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</si>
  <si>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</si>
  <si>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 TOTAL </t>
  </si>
  <si>
    <t xml:space="preserve">D. ADQUIRIDA</t>
  </si>
  <si>
    <r>
      <rPr>
        <sz val="12"/>
        <color rgb="FFFFFFFF"/>
        <rFont val="Arial"/>
        <family val="0"/>
        <charset val="1"/>
      </rPr>
      <t xml:space="preserve">CUOTA MENSUAL </t>
    </r>
    <r>
      <rPr>
        <sz val="18"/>
        <color rgb="FFFFFFFF"/>
        <rFont val="Arial"/>
        <family val="0"/>
        <charset val="1"/>
      </rPr>
      <t xml:space="preserve">#</t>
    </r>
  </si>
  <si>
    <t xml:space="preserve">RENTAL MOTORS S.A.S</t>
  </si>
  <si>
    <t xml:space="preserve">FECHA</t>
  </si>
  <si>
    <t xml:space="preserve">ABONO</t>
  </si>
  <si>
    <t xml:space="preserve">REF.</t>
  </si>
  <si>
    <t xml:space="preserve">EFECTIIVO</t>
  </si>
  <si>
    <t xml:space="preserve">M5031425</t>
  </si>
  <si>
    <t xml:space="preserve">M5922059</t>
  </si>
  <si>
    <t xml:space="preserve">M10904490</t>
  </si>
  <si>
    <t xml:space="preserve">M10288520</t>
  </si>
  <si>
    <t xml:space="preserve">M14985720</t>
  </si>
  <si>
    <t xml:space="preserve">EFECTIVO</t>
  </si>
  <si>
    <t xml:space="preserve">M4937797</t>
  </si>
  <si>
    <t xml:space="preserve">M10720724</t>
  </si>
  <si>
    <t xml:space="preserve">M14573142</t>
  </si>
  <si>
    <t xml:space="preserve">efectivo</t>
  </si>
  <si>
    <t xml:space="preserve">m1370896</t>
  </si>
  <si>
    <t xml:space="preserve">david plata</t>
  </si>
  <si>
    <t xml:space="preserve">M13572352</t>
  </si>
  <si>
    <t xml:space="preserve">M0981080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</si>
  <si>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</si>
  <si>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</si>
  <si>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MOVIL 32</t>
  </si>
  <si>
    <t xml:space="preserve">CUOTAS TOTALES </t>
  </si>
  <si>
    <t xml:space="preserve">CUOTAS RESTANTES</t>
  </si>
  <si>
    <t xml:space="preserve">RLI49H</t>
  </si>
  <si>
    <r>
      <rPr>
        <b val="true"/>
        <sz val="34"/>
        <color rgb="FFFFFFFF"/>
        <rFont val="Arial"/>
        <family val="0"/>
        <charset val="1"/>
      </rPr>
      <t xml:space="preserve">RENTAL MOTORS S.A.S  </t>
    </r>
    <r>
      <rPr>
        <b val="true"/>
        <sz val="13"/>
        <color rgb="FFFFFFFF"/>
        <rFont val="Arial"/>
        <family val="0"/>
        <charset val="1"/>
      </rPr>
      <t xml:space="preserve">Nit. 901843215-2</t>
    </r>
  </si>
  <si>
    <t xml:space="preserve">MOVIL </t>
  </si>
  <si>
    <t xml:space="preserve">NOMBRE Y APELLIDO </t>
  </si>
  <si>
    <t xml:space="preserve">CEDULA </t>
  </si>
  <si>
    <t xml:space="preserve">N/CONTACTO</t>
  </si>
  <si>
    <t xml:space="preserve">CORREO ELECTRONICO</t>
  </si>
  <si>
    <t xml:space="preserve">FECHA DE INICIO </t>
  </si>
  <si>
    <t xml:space="preserve">DIRECCION</t>
  </si>
  <si>
    <t xml:space="preserve">CIUDAD</t>
  </si>
  <si>
    <t xml:space="preserve">BARRIO</t>
  </si>
  <si>
    <t xml:space="preserve">MOVIL 31</t>
  </si>
  <si>
    <t xml:space="preserve">DATOS PERSONALES </t>
  </si>
  <si>
    <t xml:space="preserve">NOMBRE Y APELLIDO</t>
  </si>
  <si>
    <t xml:space="preserve">PARESTESCO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</si>
</sst>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</numFmts>
  <fonts count="4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FFFFFF"/>
      <name val="Nunito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sz val="17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2"/>
      <color rgb="FFFFFFFF"/>
      <name val="Arial"/>
      <family val="0"/>
      <charset val="1"/>
    </font>
    <font>
      <sz val="18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  <font>
      <b val="true"/>
      <sz val="34"/>
      <color rgb="FFFFFFFF"/>
      <name val="Arial"/>
      <family val="0"/>
      <charset val="1"/>
    </font>
    <font>
      <b val="true"/>
      <sz val="12"/>
      <color rgb="FFFFFFFF"/>
      <name val="Roboto"/>
      <family val="0"/>
      <charset val="1"/>
    </font>
    <font>
      <b val="true"/>
      <sz val="12"/>
      <color rgb="FF000000"/>
      <name val="Roboto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0000"/>
      <name val="Roboto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666666"/>
        <bgColor rgb="FF808080"/>
      </patternFill>
    </fill>
    <fill>
      <patternFill patternType="solid">
        <fgColor rgb="FF434343"/>
        <bgColor rgb="FF3333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FF0000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D9D9D9"/>
        <bgColor rgb="FFCCCCCC"/>
      </patternFill>
    </fill>
    <fill>
      <patternFill patternType="solid">
        <fgColor rgb="FF999999"/>
        <bgColor rgb="FF808080"/>
      </patternFill>
    </fill>
    <fill>
      <patternFill patternType="solid">
        <fgColor rgb="FFB7B7B7"/>
        <bgColor rgb="FFCCCCCC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FF0000"/>
      </patternFill>
    </fill>
    <fill>
      <patternFill patternType="solid">
        <fgColor rgb="FFE9E9E9"/>
        <bgColor rgb="FFF2F2F2"/>
      </patternFill>
    </fill>
    <fill>
      <patternFill patternType="solid">
        <fgColor rgb="FF9FC5E8"/>
        <bgColor rgb="FFB7B7B7"/>
      </patternFill>
    </fill>
    <fill>
      <patternFill patternType="solid">
        <fgColor rgb="FFCCCCCC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1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1" fontId="29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2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2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1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2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2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2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E9E9E9"/>
      <rgbColor rgb="FFD9D9D9"/>
      <rgbColor rgb="FFFFFF99"/>
      <rgbColor rgb="FF9FC5E8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D91616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0</xdr:row>
      <xdr:rowOff>9360</xdr:rowOff>
    </xdr:from>
    <xdr:to>
      <xdr:col>9</xdr:col>
      <xdr:colOff>114480</xdr:colOff>
      <xdr:row>14</xdr:row>
      <xdr:rowOff>189720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125000" y="9360"/>
          <a:ext cx="1761840" cy="2980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190440</xdr:rowOff>
    </xdr:from>
    <xdr:to>
      <xdr:col>2</xdr:col>
      <xdr:colOff>132480</xdr:colOff>
      <xdr:row>13</xdr:row>
      <xdr:rowOff>28080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1019160"/>
          <a:ext cx="2361960" cy="1999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G5" activeCellId="0" sqref="G5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6.25"/>
    <col collapsed="false" customWidth="true" hidden="false" outlineLevel="0" max="3" min="3" style="0" width="20.51"/>
    <col collapsed="false" customWidth="true" hidden="false" outlineLevel="0" max="4" min="4" style="0" width="18"/>
    <col collapsed="false" customWidth="true" hidden="false" outlineLevel="0" max="5" min="5" style="0" width="17.3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4.13"/>
    <col collapsed="false" customWidth="true" hidden="false" outlineLevel="0" max="9" min="9" style="0" width="23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n">
        <v>12699500</v>
      </c>
    </row>
    <row r="2" customFormat="false" ht="15.75" hidden="false" customHeight="false" outlineLevel="0" collapsed="false">
      <c r="A2" s="3" t="s">
        <v>8</v>
      </c>
      <c r="B2" s="4" t="s">
        <v>9</v>
      </c>
      <c r="C2" s="5" t="n">
        <v>2024</v>
      </c>
      <c r="D2" s="4" t="s">
        <v>10</v>
      </c>
      <c r="E2" s="4" t="s">
        <v>11</v>
      </c>
      <c r="F2" s="6" t="s">
        <v>12</v>
      </c>
      <c r="G2" s="7" t="n">
        <v>5600000</v>
      </c>
      <c r="H2" s="8" t="n">
        <v>450000</v>
      </c>
      <c r="I2" s="2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</row>
    <row r="5" customFormat="false" ht="15.75" hidden="false" customHeight="false" outlineLevel="0" collapsed="false">
      <c r="A5" s="12" t="n">
        <f aca="false">G2-H2</f>
        <v>5150000</v>
      </c>
      <c r="B5" s="12" t="n">
        <f aca="false">A5*1.41</f>
        <v>7261500</v>
      </c>
      <c r="C5" s="12" t="n">
        <f aca="false">B5+A5</f>
        <v>12411500</v>
      </c>
      <c r="D5" s="13" t="n">
        <v>18</v>
      </c>
      <c r="E5" s="12" t="n">
        <v>714000</v>
      </c>
      <c r="F5" s="12" t="n">
        <f aca="false">E5/2</f>
        <v>357000</v>
      </c>
      <c r="G5" s="14" t="n">
        <f aca="false">F5/2</f>
        <v>178500</v>
      </c>
      <c r="H5" s="15" t="n">
        <f aca="false">G5/6</f>
        <v>29750</v>
      </c>
      <c r="I5" s="2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</row>
    <row r="7" customFormat="false" ht="15.75" hidden="false" customHeight="false" outlineLevel="0" collapsed="false">
      <c r="A7" s="19" t="s">
        <v>29</v>
      </c>
      <c r="B7" s="19" t="s">
        <v>30</v>
      </c>
      <c r="C7" s="19" t="n">
        <v>5882282</v>
      </c>
      <c r="D7" s="19" t="s">
        <v>31</v>
      </c>
      <c r="E7" s="20"/>
      <c r="F7" s="21" t="s">
        <v>32</v>
      </c>
      <c r="G7" s="21" t="s">
        <v>32</v>
      </c>
      <c r="H7" s="22" t="n">
        <v>0</v>
      </c>
      <c r="I7" s="2"/>
    </row>
    <row r="8" customFormat="false" ht="15.75" hidden="false" customHeight="false" outlineLevel="0" collapsed="false">
      <c r="A8" s="23"/>
      <c r="B8" s="23"/>
      <c r="C8" s="23"/>
      <c r="D8" s="23"/>
      <c r="E8" s="24"/>
      <c r="F8" s="25"/>
      <c r="G8" s="25"/>
      <c r="H8" s="26"/>
      <c r="I8" s="2"/>
    </row>
    <row r="9" customFormat="false" ht="15.75" hidden="false" customHeight="false" outlineLevel="0" collapsed="false">
      <c r="A9" s="27" t="s">
        <v>33</v>
      </c>
      <c r="B9" s="27"/>
      <c r="C9" s="28" t="s">
        <v>34</v>
      </c>
      <c r="D9" s="28"/>
      <c r="E9" s="29" t="s">
        <v>35</v>
      </c>
      <c r="F9" s="29"/>
      <c r="G9" s="30" t="s">
        <v>36</v>
      </c>
      <c r="H9" s="31" t="s">
        <v>37</v>
      </c>
      <c r="I9" s="2"/>
    </row>
    <row r="10" customFormat="false" ht="15.75" hidden="false" customHeight="false" outlineLevel="0" collapsed="false">
      <c r="A10" s="32" t="n">
        <f aca="false">I15+I25+I35+I45+I55+I65+I75+I85+I95+I105+I115+I125+I135+I145+I155</f>
        <v>10530000</v>
      </c>
      <c r="B10" s="32"/>
      <c r="C10" s="33" t="n">
        <f aca="false">C5-A10</f>
        <v>1881500</v>
      </c>
      <c r="D10" s="33"/>
      <c r="E10" s="34" t="n">
        <f aca="false">C10+G10</f>
        <v>1881500</v>
      </c>
      <c r="F10" s="34"/>
      <c r="G10" s="35"/>
      <c r="H10" s="31"/>
      <c r="I10" s="2"/>
    </row>
    <row r="11" customFormat="false" ht="15.75" hidden="false" customHeight="false" outlineLevel="0" collapsed="false">
      <c r="A11" s="32"/>
      <c r="B11" s="32"/>
      <c r="C11" s="33"/>
      <c r="D11" s="33"/>
      <c r="E11" s="34"/>
      <c r="F11" s="34"/>
      <c r="G11" s="35"/>
      <c r="H11" s="36" t="n">
        <f aca="false">I22+I32+I42+I52+I62+I72+I82+I92+I102+I112+I122+I132+I142+I152+I162</f>
        <v>14</v>
      </c>
      <c r="I11" s="2"/>
    </row>
    <row r="12" customFormat="false" ht="15.75" hidden="false" customHeight="false" outlineLevel="0" collapsed="false">
      <c r="A12" s="37" t="s">
        <v>38</v>
      </c>
      <c r="B12" s="37"/>
      <c r="C12" s="37"/>
      <c r="D12" s="37"/>
      <c r="E12" s="38"/>
      <c r="F12" s="38"/>
      <c r="G12" s="38"/>
      <c r="H12" s="36"/>
      <c r="I12" s="2"/>
    </row>
    <row r="13" customFormat="false" ht="15.75" hidden="false" customHeight="false" outlineLevel="0" collapsed="false">
      <c r="A13" s="39"/>
      <c r="B13" s="39"/>
      <c r="C13" s="39"/>
      <c r="D13" s="39"/>
      <c r="E13" s="39"/>
      <c r="F13" s="39"/>
      <c r="G13" s="39"/>
      <c r="H13" s="39"/>
      <c r="I13" s="9"/>
    </row>
    <row r="14" customFormat="false" ht="15.75" hidden="false" customHeight="false" outlineLevel="0" collapsed="false">
      <c r="A14" s="40" t="s">
        <v>39</v>
      </c>
      <c r="B14" s="40" t="s">
        <v>40</v>
      </c>
      <c r="C14" s="40" t="s">
        <v>39</v>
      </c>
      <c r="D14" s="40" t="s">
        <v>40</v>
      </c>
      <c r="E14" s="40" t="s">
        <v>39</v>
      </c>
      <c r="F14" s="40" t="s">
        <v>40</v>
      </c>
      <c r="G14" s="40" t="s">
        <v>39</v>
      </c>
      <c r="H14" s="40" t="s">
        <v>40</v>
      </c>
      <c r="I14" s="23"/>
    </row>
    <row r="15" customFormat="false" ht="15.75" hidden="false" customHeight="false" outlineLevel="0" collapsed="false">
      <c r="A15" s="41"/>
      <c r="B15" s="42"/>
      <c r="C15" s="43" t="n">
        <v>45761</v>
      </c>
      <c r="D15" s="44"/>
      <c r="E15" s="43" t="n">
        <v>45768</v>
      </c>
      <c r="F15" s="44"/>
      <c r="G15" s="43" t="n">
        <v>45775</v>
      </c>
      <c r="H15" s="44"/>
      <c r="I15" s="45" t="n">
        <f aca="false">B21+D21+F21+H21</f>
        <v>630000</v>
      </c>
    </row>
    <row r="16" customFormat="false" ht="15.75" hidden="false" customHeight="false" outlineLevel="0" collapsed="false">
      <c r="A16" s="41"/>
      <c r="B16" s="46"/>
      <c r="C16" s="43" t="n">
        <v>45762</v>
      </c>
      <c r="D16" s="47"/>
      <c r="E16" s="43" t="n">
        <v>45769</v>
      </c>
      <c r="F16" s="47"/>
      <c r="G16" s="43" t="n">
        <v>45776</v>
      </c>
      <c r="H16" s="47"/>
      <c r="I16" s="45"/>
    </row>
    <row r="17" customFormat="false" ht="15.75" hidden="false" customHeight="false" outlineLevel="0" collapsed="false">
      <c r="A17" s="41"/>
      <c r="B17" s="48"/>
      <c r="C17" s="43" t="n">
        <v>45763</v>
      </c>
      <c r="D17" s="49" t="n">
        <v>180000</v>
      </c>
      <c r="E17" s="43" t="n">
        <v>45770</v>
      </c>
      <c r="F17" s="49" t="n">
        <v>180000</v>
      </c>
      <c r="G17" s="43" t="n">
        <v>45777</v>
      </c>
      <c r="H17" s="49" t="n">
        <v>180000</v>
      </c>
      <c r="I17" s="45"/>
    </row>
    <row r="18" customFormat="false" ht="15.75" hidden="false" customHeight="false" outlineLevel="0" collapsed="false">
      <c r="A18" s="41"/>
      <c r="B18" s="48"/>
      <c r="C18" s="43" t="n">
        <v>45764</v>
      </c>
      <c r="D18" s="47"/>
      <c r="E18" s="43" t="n">
        <v>45771</v>
      </c>
      <c r="F18" s="47"/>
      <c r="G18" s="43" t="n">
        <v>45778</v>
      </c>
      <c r="H18" s="47"/>
      <c r="I18" s="45"/>
    </row>
    <row r="19" customFormat="false" ht="15.75" hidden="false" customHeight="false" outlineLevel="0" collapsed="false">
      <c r="A19" s="43" t="n">
        <v>45758</v>
      </c>
      <c r="B19" s="49" t="n">
        <v>90000</v>
      </c>
      <c r="C19" s="43" t="n">
        <v>45765</v>
      </c>
      <c r="D19" s="47"/>
      <c r="E19" s="43" t="n">
        <v>45772</v>
      </c>
      <c r="F19" s="47"/>
      <c r="G19" s="43" t="n">
        <v>45779</v>
      </c>
      <c r="H19" s="47"/>
      <c r="I19" s="45"/>
    </row>
    <row r="20" customFormat="false" ht="15.75" hidden="false" customHeight="false" outlineLevel="0" collapsed="false">
      <c r="A20" s="43" t="n">
        <v>45759</v>
      </c>
      <c r="B20" s="47"/>
      <c r="C20" s="43" t="n">
        <v>45766</v>
      </c>
      <c r="D20" s="47"/>
      <c r="E20" s="43" t="n">
        <v>45773</v>
      </c>
      <c r="F20" s="47"/>
      <c r="G20" s="43" t="n">
        <v>45780</v>
      </c>
      <c r="H20" s="47"/>
      <c r="I20" s="45"/>
    </row>
    <row r="21" customFormat="false" ht="15.75" hidden="false" customHeight="false" outlineLevel="0" collapsed="false">
      <c r="A21" s="23"/>
      <c r="B21" s="50" t="n">
        <f aca="false">SUM(B15:B20)</f>
        <v>90000</v>
      </c>
      <c r="C21" s="23"/>
      <c r="D21" s="50" t="n">
        <f aca="false">SUM(D15:D20)</f>
        <v>180000</v>
      </c>
      <c r="E21" s="23"/>
      <c r="F21" s="50" t="n">
        <f aca="false">SUM(F15:F20)</f>
        <v>180000</v>
      </c>
      <c r="G21" s="23"/>
      <c r="H21" s="50" t="n">
        <f aca="false">SUM(H15:H20)</f>
        <v>180000</v>
      </c>
      <c r="I21" s="51" t="n">
        <v>1</v>
      </c>
    </row>
    <row r="22" customFormat="false" ht="15.75" hidden="false" customHeight="false" outlineLevel="0" collapsed="false">
      <c r="A22" s="40" t="s">
        <v>41</v>
      </c>
      <c r="B22" s="52" t="s">
        <v>42</v>
      </c>
      <c r="C22" s="40" t="s">
        <v>41</v>
      </c>
      <c r="D22" s="52" t="s">
        <v>43</v>
      </c>
      <c r="E22" s="40" t="s">
        <v>41</v>
      </c>
      <c r="F22" s="52" t="s">
        <v>44</v>
      </c>
      <c r="G22" s="40" t="s">
        <v>41</v>
      </c>
      <c r="H22" s="52" t="s">
        <v>45</v>
      </c>
      <c r="I22" s="53" t="n">
        <v>1</v>
      </c>
    </row>
    <row r="23" customFormat="false" ht="15.75" hidden="false" customHeight="false" outlineLevel="0" collapsed="false">
      <c r="A23" s="54"/>
      <c r="B23" s="54"/>
      <c r="C23" s="54"/>
      <c r="D23" s="54"/>
      <c r="E23" s="54"/>
      <c r="F23" s="54"/>
      <c r="G23" s="54"/>
      <c r="H23" s="54"/>
      <c r="I23" s="54"/>
    </row>
    <row r="24" customFormat="false" ht="15.75" hidden="false" customHeight="false" outlineLevel="0" collapsed="false">
      <c r="A24" s="40" t="s">
        <v>39</v>
      </c>
      <c r="B24" s="40" t="s">
        <v>40</v>
      </c>
      <c r="C24" s="40" t="s">
        <v>39</v>
      </c>
      <c r="D24" s="40" t="s">
        <v>40</v>
      </c>
      <c r="E24" s="40" t="s">
        <v>39</v>
      </c>
      <c r="F24" s="40" t="s">
        <v>40</v>
      </c>
      <c r="G24" s="40" t="s">
        <v>39</v>
      </c>
      <c r="H24" s="40" t="s">
        <v>40</v>
      </c>
      <c r="I24" s="23"/>
    </row>
    <row r="25" customFormat="false" ht="15.75" hidden="false" customHeight="false" outlineLevel="0" collapsed="false">
      <c r="A25" s="43" t="n">
        <v>45782</v>
      </c>
      <c r="B25" s="44"/>
      <c r="C25" s="43" t="n">
        <v>45789</v>
      </c>
      <c r="D25" s="44"/>
      <c r="E25" s="43" t="n">
        <v>45796</v>
      </c>
      <c r="F25" s="44"/>
      <c r="G25" s="55" t="n">
        <v>45803</v>
      </c>
      <c r="H25" s="44"/>
      <c r="I25" s="45" t="n">
        <f aca="false">B31+D31+F31+H31</f>
        <v>720000</v>
      </c>
    </row>
    <row r="26" customFormat="false" ht="15.75" hidden="false" customHeight="false" outlineLevel="0" collapsed="false">
      <c r="A26" s="43" t="n">
        <v>45783</v>
      </c>
      <c r="B26" s="56"/>
      <c r="C26" s="43" t="n">
        <v>45790</v>
      </c>
      <c r="D26" s="47"/>
      <c r="E26" s="43" t="n">
        <v>45797</v>
      </c>
      <c r="F26" s="47"/>
      <c r="G26" s="43" t="n">
        <v>45804</v>
      </c>
      <c r="H26" s="47"/>
      <c r="I26" s="45"/>
    </row>
    <row r="27" customFormat="false" ht="15.75" hidden="false" customHeight="false" outlineLevel="0" collapsed="false">
      <c r="A27" s="43" t="n">
        <v>45784</v>
      </c>
      <c r="B27" s="49" t="n">
        <v>180000</v>
      </c>
      <c r="C27" s="43" t="n">
        <v>45791</v>
      </c>
      <c r="D27" s="49" t="n">
        <v>180000</v>
      </c>
      <c r="E27" s="43" t="n">
        <v>45798</v>
      </c>
      <c r="F27" s="49" t="n">
        <v>180000</v>
      </c>
      <c r="G27" s="43" t="n">
        <v>45805</v>
      </c>
      <c r="H27" s="49" t="n">
        <v>180000</v>
      </c>
      <c r="I27" s="45"/>
    </row>
    <row r="28" customFormat="false" ht="15.75" hidden="false" customHeight="false" outlineLevel="0" collapsed="false">
      <c r="A28" s="43" t="n">
        <v>45785</v>
      </c>
      <c r="B28" s="47"/>
      <c r="C28" s="43" t="n">
        <v>45792</v>
      </c>
      <c r="D28" s="47"/>
      <c r="E28" s="43" t="n">
        <v>45799</v>
      </c>
      <c r="F28" s="47"/>
      <c r="G28" s="43" t="n">
        <v>45806</v>
      </c>
      <c r="H28" s="47"/>
      <c r="I28" s="45"/>
    </row>
    <row r="29" customFormat="false" ht="15.75" hidden="false" customHeight="false" outlineLevel="0" collapsed="false">
      <c r="A29" s="43" t="n">
        <v>45786</v>
      </c>
      <c r="B29" s="47"/>
      <c r="C29" s="43" t="n">
        <v>45793</v>
      </c>
      <c r="D29" s="47"/>
      <c r="E29" s="43" t="n">
        <v>45800</v>
      </c>
      <c r="F29" s="47"/>
      <c r="G29" s="43" t="n">
        <v>45807</v>
      </c>
      <c r="H29" s="47"/>
      <c r="I29" s="45"/>
    </row>
    <row r="30" customFormat="false" ht="15.75" hidden="false" customHeight="false" outlineLevel="0" collapsed="false">
      <c r="A30" s="43" t="n">
        <v>45787</v>
      </c>
      <c r="B30" s="47"/>
      <c r="C30" s="43" t="n">
        <v>45794</v>
      </c>
      <c r="D30" s="47"/>
      <c r="E30" s="43" t="n">
        <v>45801</v>
      </c>
      <c r="F30" s="47"/>
      <c r="G30" s="43" t="n">
        <v>45808</v>
      </c>
      <c r="H30" s="47"/>
      <c r="I30" s="45"/>
    </row>
    <row r="31" customFormat="false" ht="15.75" hidden="false" customHeight="false" outlineLevel="0" collapsed="false">
      <c r="A31" s="23"/>
      <c r="B31" s="50" t="n">
        <f aca="false">SUM(B25:B30)</f>
        <v>180000</v>
      </c>
      <c r="C31" s="23"/>
      <c r="D31" s="50" t="n">
        <f aca="false">SUM(D25:D30)</f>
        <v>180000</v>
      </c>
      <c r="E31" s="23"/>
      <c r="F31" s="50" t="n">
        <f aca="false">SUM(F25:F30)</f>
        <v>180000</v>
      </c>
      <c r="G31" s="23"/>
      <c r="H31" s="50" t="n">
        <f aca="false">SUM(H25:H30)</f>
        <v>180000</v>
      </c>
      <c r="I31" s="51" t="n">
        <v>2</v>
      </c>
    </row>
    <row r="32" customFormat="false" ht="15.75" hidden="false" customHeight="false" outlineLevel="0" collapsed="false">
      <c r="A32" s="40" t="s">
        <v>41</v>
      </c>
      <c r="B32" s="52" t="s">
        <v>46</v>
      </c>
      <c r="C32" s="40" t="s">
        <v>41</v>
      </c>
      <c r="D32" s="52" t="s">
        <v>47</v>
      </c>
      <c r="E32" s="40" t="s">
        <v>41</v>
      </c>
      <c r="F32" s="52" t="s">
        <v>48</v>
      </c>
      <c r="G32" s="40" t="s">
        <v>41</v>
      </c>
      <c r="H32" s="52" t="s">
        <v>49</v>
      </c>
      <c r="I32" s="53" t="n">
        <v>1</v>
      </c>
    </row>
    <row r="33" customFormat="false" ht="15.75" hidden="false" customHeight="false" outlineLevel="0" collapsed="false">
      <c r="A33" s="54"/>
      <c r="B33" s="54"/>
      <c r="C33" s="54"/>
      <c r="D33" s="54"/>
      <c r="E33" s="54"/>
      <c r="F33" s="54"/>
      <c r="G33" s="54"/>
      <c r="H33" s="54"/>
      <c r="I33" s="54"/>
    </row>
    <row r="34" customFormat="false" ht="15.75" hidden="false" customHeight="false" outlineLevel="0" collapsed="false">
      <c r="A34" s="40" t="s">
        <v>39</v>
      </c>
      <c r="B34" s="40" t="s">
        <v>40</v>
      </c>
      <c r="C34" s="40" t="s">
        <v>39</v>
      </c>
      <c r="D34" s="40" t="s">
        <v>40</v>
      </c>
      <c r="E34" s="40" t="s">
        <v>39</v>
      </c>
      <c r="F34" s="40" t="s">
        <v>40</v>
      </c>
      <c r="G34" s="40" t="s">
        <v>39</v>
      </c>
      <c r="H34" s="40" t="s">
        <v>40</v>
      </c>
      <c r="I34" s="23"/>
    </row>
    <row r="35" customFormat="false" ht="15.75" hidden="false" customHeight="false" outlineLevel="0" collapsed="false">
      <c r="A35" s="43" t="n">
        <v>45810</v>
      </c>
      <c r="B35" s="44"/>
      <c r="C35" s="43" t="n">
        <v>45817</v>
      </c>
      <c r="D35" s="44"/>
      <c r="E35" s="43" t="n">
        <v>45824</v>
      </c>
      <c r="F35" s="44"/>
      <c r="G35" s="43" t="n">
        <v>45831</v>
      </c>
      <c r="H35" s="44"/>
      <c r="I35" s="45" t="n">
        <f aca="false">B41+D41+F41+H41</f>
        <v>720000</v>
      </c>
    </row>
    <row r="36" customFormat="false" ht="15.75" hidden="false" customHeight="false" outlineLevel="0" collapsed="false">
      <c r="A36" s="43" t="n">
        <v>45811</v>
      </c>
      <c r="B36" s="56"/>
      <c r="C36" s="43" t="n">
        <v>45818</v>
      </c>
      <c r="D36" s="47"/>
      <c r="E36" s="43" t="n">
        <v>45825</v>
      </c>
      <c r="F36" s="47"/>
      <c r="G36" s="43" t="n">
        <v>45832</v>
      </c>
      <c r="H36" s="47"/>
      <c r="I36" s="45"/>
    </row>
    <row r="37" customFormat="false" ht="15.75" hidden="false" customHeight="false" outlineLevel="0" collapsed="false">
      <c r="A37" s="43" t="n">
        <v>45812</v>
      </c>
      <c r="B37" s="56"/>
      <c r="C37" s="43" t="n">
        <v>45819</v>
      </c>
      <c r="D37" s="56"/>
      <c r="E37" s="43" t="n">
        <v>45826</v>
      </c>
      <c r="F37" s="56"/>
      <c r="G37" s="43" t="n">
        <v>45833</v>
      </c>
      <c r="H37" s="56"/>
      <c r="I37" s="45"/>
    </row>
    <row r="38" customFormat="false" ht="15.75" hidden="false" customHeight="false" outlineLevel="0" collapsed="false">
      <c r="A38" s="43" t="n">
        <v>45813</v>
      </c>
      <c r="B38" s="49" t="n">
        <v>180000</v>
      </c>
      <c r="C38" s="43" t="n">
        <v>45820</v>
      </c>
      <c r="D38" s="49" t="n">
        <v>180000</v>
      </c>
      <c r="E38" s="43" t="n">
        <v>45827</v>
      </c>
      <c r="F38" s="49" t="n">
        <v>180000</v>
      </c>
      <c r="G38" s="43" t="n">
        <v>45834</v>
      </c>
      <c r="H38" s="49" t="n">
        <v>180000</v>
      </c>
      <c r="I38" s="45"/>
    </row>
    <row r="39" customFormat="false" ht="15.75" hidden="false" customHeight="false" outlineLevel="0" collapsed="false">
      <c r="A39" s="43" t="n">
        <v>45814</v>
      </c>
      <c r="B39" s="47"/>
      <c r="C39" s="43" t="n">
        <v>45821</v>
      </c>
      <c r="D39" s="47"/>
      <c r="E39" s="43" t="n">
        <v>45828</v>
      </c>
      <c r="F39" s="47"/>
      <c r="G39" s="43" t="n">
        <v>45835</v>
      </c>
      <c r="H39" s="47"/>
      <c r="I39" s="45"/>
    </row>
    <row r="40" customFormat="false" ht="15.75" hidden="false" customHeight="false" outlineLevel="0" collapsed="false">
      <c r="A40" s="43" t="n">
        <v>45815</v>
      </c>
      <c r="B40" s="47"/>
      <c r="C40" s="43" t="n">
        <v>45822</v>
      </c>
      <c r="D40" s="47"/>
      <c r="E40" s="43" t="n">
        <v>45829</v>
      </c>
      <c r="F40" s="47"/>
      <c r="G40" s="43" t="n">
        <v>45836</v>
      </c>
      <c r="H40" s="47"/>
      <c r="I40" s="45"/>
    </row>
    <row r="41" customFormat="false" ht="15.75" hidden="false" customHeight="false" outlineLevel="0" collapsed="false">
      <c r="A41" s="23"/>
      <c r="B41" s="50" t="n">
        <f aca="false">SUM(B35:B40)</f>
        <v>180000</v>
      </c>
      <c r="C41" s="23"/>
      <c r="D41" s="50" t="n">
        <f aca="false">SUM(D35:D40)</f>
        <v>180000</v>
      </c>
      <c r="E41" s="23"/>
      <c r="F41" s="50" t="n">
        <f aca="false">SUM(F35:F40)</f>
        <v>180000</v>
      </c>
      <c r="G41" s="23"/>
      <c r="H41" s="50" t="n">
        <f aca="false">SUM(H35:H40)</f>
        <v>180000</v>
      </c>
      <c r="I41" s="51" t="n">
        <v>3</v>
      </c>
    </row>
    <row r="42" customFormat="false" ht="15.75" hidden="false" customHeight="false" outlineLevel="0" collapsed="false">
      <c r="A42" s="40" t="s">
        <v>41</v>
      </c>
      <c r="B42" s="52" t="s">
        <v>50</v>
      </c>
      <c r="C42" s="40" t="s">
        <v>41</v>
      </c>
      <c r="D42" s="52" t="s">
        <v>48</v>
      </c>
      <c r="E42" s="40" t="s">
        <v>41</v>
      </c>
      <c r="F42" s="52" t="s">
        <v>51</v>
      </c>
      <c r="G42" s="40" t="s">
        <v>41</v>
      </c>
      <c r="H42" s="52"/>
      <c r="I42" s="53" t="n">
        <v>1</v>
      </c>
    </row>
    <row r="43" customFormat="false" ht="15.75" hidden="false" customHeight="false" outlineLevel="0" collapsed="false">
      <c r="A43" s="54"/>
      <c r="B43" s="54"/>
      <c r="C43" s="54"/>
      <c r="D43" s="54"/>
      <c r="E43" s="54"/>
      <c r="F43" s="54"/>
      <c r="G43" s="54"/>
      <c r="H43" s="54"/>
      <c r="I43" s="54"/>
    </row>
    <row r="44" customFormat="false" ht="15.75" hidden="false" customHeight="false" outlineLevel="0" collapsed="false">
      <c r="A44" s="40" t="s">
        <v>39</v>
      </c>
      <c r="B44" s="40" t="s">
        <v>40</v>
      </c>
      <c r="C44" s="40" t="s">
        <v>39</v>
      </c>
      <c r="D44" s="40" t="s">
        <v>40</v>
      </c>
      <c r="E44" s="40" t="s">
        <v>39</v>
      </c>
      <c r="F44" s="40" t="s">
        <v>40</v>
      </c>
      <c r="G44" s="40" t="s">
        <v>39</v>
      </c>
      <c r="H44" s="40" t="s">
        <v>40</v>
      </c>
      <c r="I44" s="23"/>
    </row>
    <row r="45" customFormat="false" ht="15.75" hidden="false" customHeight="false" outlineLevel="0" collapsed="false">
      <c r="A45" s="43" t="n">
        <v>45838</v>
      </c>
      <c r="B45" s="44"/>
      <c r="C45" s="43" t="n">
        <v>45845</v>
      </c>
      <c r="D45" s="44"/>
      <c r="E45" s="43" t="n">
        <v>45852</v>
      </c>
      <c r="F45" s="44"/>
      <c r="G45" s="43" t="n">
        <v>45859</v>
      </c>
      <c r="H45" s="44"/>
      <c r="I45" s="45" t="n">
        <f aca="false">B51+D51+F51+H51</f>
        <v>720000</v>
      </c>
    </row>
    <row r="46" customFormat="false" ht="15.75" hidden="false" customHeight="false" outlineLevel="0" collapsed="false">
      <c r="A46" s="43" t="n">
        <v>45839</v>
      </c>
      <c r="B46" s="56"/>
      <c r="C46" s="43" t="n">
        <v>45846</v>
      </c>
      <c r="D46" s="47"/>
      <c r="E46" s="43" t="n">
        <v>45853</v>
      </c>
      <c r="F46" s="47"/>
      <c r="G46" s="43" t="n">
        <v>45860</v>
      </c>
      <c r="H46" s="47"/>
      <c r="I46" s="45"/>
    </row>
    <row r="47" customFormat="false" ht="15.75" hidden="false" customHeight="false" outlineLevel="0" collapsed="false">
      <c r="A47" s="43" t="n">
        <v>45840</v>
      </c>
      <c r="B47" s="56"/>
      <c r="C47" s="43" t="n">
        <v>45847</v>
      </c>
      <c r="D47" s="56"/>
      <c r="E47" s="43" t="n">
        <v>45854</v>
      </c>
      <c r="F47" s="56"/>
      <c r="G47" s="43" t="n">
        <v>45861</v>
      </c>
      <c r="H47" s="56"/>
      <c r="I47" s="45"/>
    </row>
    <row r="48" customFormat="false" ht="15.75" hidden="false" customHeight="false" outlineLevel="0" collapsed="false">
      <c r="A48" s="43" t="n">
        <v>45841</v>
      </c>
      <c r="B48" s="49" t="n">
        <v>180000</v>
      </c>
      <c r="C48" s="43" t="n">
        <v>45848</v>
      </c>
      <c r="D48" s="49" t="n">
        <v>180000</v>
      </c>
      <c r="E48" s="43" t="n">
        <v>45855</v>
      </c>
      <c r="F48" s="49" t="n">
        <v>180000</v>
      </c>
      <c r="G48" s="43" t="n">
        <v>45862</v>
      </c>
      <c r="H48" s="49" t="n">
        <v>180000</v>
      </c>
      <c r="I48" s="45"/>
    </row>
    <row r="49" customFormat="false" ht="15.75" hidden="false" customHeight="false" outlineLevel="0" collapsed="false">
      <c r="A49" s="43" t="n">
        <v>45842</v>
      </c>
      <c r="B49" s="47"/>
      <c r="C49" s="43" t="n">
        <v>45849</v>
      </c>
      <c r="D49" s="47"/>
      <c r="E49" s="43" t="n">
        <v>45856</v>
      </c>
      <c r="F49" s="47"/>
      <c r="G49" s="43" t="n">
        <v>45863</v>
      </c>
      <c r="H49" s="47"/>
      <c r="I49" s="45"/>
    </row>
    <row r="50" customFormat="false" ht="15.75" hidden="false" customHeight="false" outlineLevel="0" collapsed="false">
      <c r="A50" s="43" t="n">
        <v>45843</v>
      </c>
      <c r="B50" s="47"/>
      <c r="C50" s="43" t="n">
        <v>45850</v>
      </c>
      <c r="D50" s="47"/>
      <c r="E50" s="43" t="n">
        <v>45857</v>
      </c>
      <c r="F50" s="47"/>
      <c r="G50" s="43" t="n">
        <v>45864</v>
      </c>
      <c r="H50" s="47"/>
      <c r="I50" s="45"/>
    </row>
    <row r="51" customFormat="false" ht="15.75" hidden="false" customHeight="false" outlineLevel="0" collapsed="false">
      <c r="A51" s="23"/>
      <c r="B51" s="50" t="n">
        <f aca="false">SUM(B45:B50)</f>
        <v>180000</v>
      </c>
      <c r="C51" s="23"/>
      <c r="D51" s="50" t="n">
        <f aca="false">SUM(D45:D50)</f>
        <v>180000</v>
      </c>
      <c r="E51" s="23"/>
      <c r="F51" s="50" t="n">
        <f aca="false">SUM(F45:F50)</f>
        <v>180000</v>
      </c>
      <c r="G51" s="23"/>
      <c r="H51" s="50" t="n">
        <f aca="false">SUM(H45:H50)</f>
        <v>180000</v>
      </c>
      <c r="I51" s="51" t="n">
        <v>4</v>
      </c>
    </row>
    <row r="52" customFormat="false" ht="15.75" hidden="false" customHeight="false" outlineLevel="0" collapsed="false">
      <c r="A52" s="40" t="s">
        <v>41</v>
      </c>
      <c r="B52" s="52"/>
      <c r="C52" s="40" t="s">
        <v>41</v>
      </c>
      <c r="D52" s="52"/>
      <c r="E52" s="40" t="s">
        <v>41</v>
      </c>
      <c r="F52" s="52" t="s">
        <v>52</v>
      </c>
      <c r="G52" s="40" t="s">
        <v>41</v>
      </c>
      <c r="H52" s="52" t="s">
        <v>51</v>
      </c>
      <c r="I52" s="53" t="n">
        <v>1</v>
      </c>
    </row>
    <row r="53" customFormat="false" ht="15.75" hidden="false" customHeight="false" outlineLevel="0" collapsed="false">
      <c r="A53" s="54"/>
      <c r="B53" s="54"/>
      <c r="C53" s="54"/>
      <c r="D53" s="54"/>
      <c r="E53" s="54"/>
      <c r="F53" s="54"/>
      <c r="G53" s="54"/>
      <c r="H53" s="54"/>
      <c r="I53" s="54"/>
    </row>
    <row r="54" customFormat="false" ht="15.75" hidden="false" customHeight="false" outlineLevel="0" collapsed="false">
      <c r="A54" s="40" t="s">
        <v>39</v>
      </c>
      <c r="B54" s="40" t="s">
        <v>40</v>
      </c>
      <c r="C54" s="40" t="s">
        <v>39</v>
      </c>
      <c r="D54" s="40" t="s">
        <v>40</v>
      </c>
      <c r="E54" s="40" t="s">
        <v>39</v>
      </c>
      <c r="F54" s="40" t="s">
        <v>40</v>
      </c>
      <c r="G54" s="40" t="s">
        <v>39</v>
      </c>
      <c r="H54" s="40" t="s">
        <v>40</v>
      </c>
      <c r="I54" s="23"/>
    </row>
    <row r="55" customFormat="false" ht="15.75" hidden="false" customHeight="false" outlineLevel="0" collapsed="false">
      <c r="A55" s="43" t="n">
        <v>45866</v>
      </c>
      <c r="B55" s="44"/>
      <c r="C55" s="43" t="n">
        <v>45873</v>
      </c>
      <c r="D55" s="44"/>
      <c r="E55" s="43" t="n">
        <v>45880</v>
      </c>
      <c r="F55" s="44"/>
      <c r="G55" s="43" t="n">
        <v>45887</v>
      </c>
      <c r="H55" s="44"/>
      <c r="I55" s="45" t="n">
        <f aca="false">B61+D61+F61+H61</f>
        <v>720000</v>
      </c>
    </row>
    <row r="56" customFormat="false" ht="15.75" hidden="false" customHeight="false" outlineLevel="0" collapsed="false">
      <c r="A56" s="43" t="n">
        <v>45867</v>
      </c>
      <c r="B56" s="56"/>
      <c r="C56" s="43" t="n">
        <v>45874</v>
      </c>
      <c r="D56" s="47"/>
      <c r="E56" s="43" t="n">
        <v>45881</v>
      </c>
      <c r="F56" s="47"/>
      <c r="G56" s="43" t="n">
        <v>45888</v>
      </c>
      <c r="H56" s="47"/>
      <c r="I56" s="45"/>
    </row>
    <row r="57" customFormat="false" ht="15.75" hidden="false" customHeight="false" outlineLevel="0" collapsed="false">
      <c r="A57" s="43" t="n">
        <v>45868</v>
      </c>
      <c r="B57" s="56"/>
      <c r="C57" s="43" t="n">
        <v>45875</v>
      </c>
      <c r="D57" s="56"/>
      <c r="E57" s="43" t="n">
        <v>45882</v>
      </c>
      <c r="F57" s="56"/>
      <c r="G57" s="43" t="n">
        <v>45889</v>
      </c>
      <c r="H57" s="56"/>
      <c r="I57" s="45"/>
    </row>
    <row r="58" customFormat="false" ht="15.75" hidden="false" customHeight="false" outlineLevel="0" collapsed="false">
      <c r="A58" s="43" t="n">
        <v>45869</v>
      </c>
      <c r="B58" s="49" t="n">
        <v>180000</v>
      </c>
      <c r="C58" s="43" t="n">
        <v>45876</v>
      </c>
      <c r="D58" s="49" t="n">
        <v>180000</v>
      </c>
      <c r="E58" s="43" t="n">
        <v>45883</v>
      </c>
      <c r="F58" s="49" t="n">
        <v>180000</v>
      </c>
      <c r="G58" s="43" t="n">
        <v>45890</v>
      </c>
      <c r="H58" s="49" t="n">
        <v>180000</v>
      </c>
      <c r="I58" s="45"/>
    </row>
    <row r="59" customFormat="false" ht="15.75" hidden="false" customHeight="false" outlineLevel="0" collapsed="false">
      <c r="A59" s="43" t="n">
        <v>45870</v>
      </c>
      <c r="B59" s="47"/>
      <c r="C59" s="43" t="n">
        <v>45877</v>
      </c>
      <c r="D59" s="47"/>
      <c r="E59" s="43" t="n">
        <v>45884</v>
      </c>
      <c r="F59" s="47"/>
      <c r="G59" s="43" t="n">
        <v>45891</v>
      </c>
      <c r="H59" s="47"/>
      <c r="I59" s="45"/>
    </row>
    <row r="60" customFormat="false" ht="15.75" hidden="false" customHeight="false" outlineLevel="0" collapsed="false">
      <c r="A60" s="43" t="n">
        <v>45871</v>
      </c>
      <c r="B60" s="47"/>
      <c r="C60" s="43" t="n">
        <v>45878</v>
      </c>
      <c r="D60" s="47"/>
      <c r="E60" s="43" t="n">
        <v>45885</v>
      </c>
      <c r="F60" s="47"/>
      <c r="G60" s="43" t="n">
        <v>45892</v>
      </c>
      <c r="H60" s="47"/>
      <c r="I60" s="45"/>
    </row>
    <row r="61" customFormat="false" ht="15.75" hidden="false" customHeight="false" outlineLevel="0" collapsed="false">
      <c r="A61" s="23"/>
      <c r="B61" s="50" t="n">
        <f aca="false">SUM(B55:B60)</f>
        <v>180000</v>
      </c>
      <c r="C61" s="23"/>
      <c r="D61" s="50" t="n">
        <f aca="false">SUM(D55:D60)</f>
        <v>180000</v>
      </c>
      <c r="E61" s="23"/>
      <c r="F61" s="50" t="n">
        <f aca="false">SUM(F55:F60)</f>
        <v>180000</v>
      </c>
      <c r="G61" s="23"/>
      <c r="H61" s="50" t="n">
        <f aca="false">SUM(H55:H60)</f>
        <v>180000</v>
      </c>
      <c r="I61" s="51" t="n">
        <v>5</v>
      </c>
    </row>
    <row r="62" customFormat="false" ht="15.75" hidden="false" customHeight="false" outlineLevel="0" collapsed="false">
      <c r="A62" s="40" t="s">
        <v>41</v>
      </c>
      <c r="B62" s="52" t="s">
        <v>53</v>
      </c>
      <c r="C62" s="40" t="s">
        <v>41</v>
      </c>
      <c r="D62" s="52" t="s">
        <v>54</v>
      </c>
      <c r="E62" s="40" t="s">
        <v>41</v>
      </c>
      <c r="F62" s="52" t="s">
        <v>54</v>
      </c>
      <c r="G62" s="40" t="s">
        <v>41</v>
      </c>
      <c r="H62" s="52" t="s">
        <v>54</v>
      </c>
      <c r="I62" s="53" t="n">
        <v>1</v>
      </c>
    </row>
    <row r="63" customFormat="false" ht="15.75" hidden="false" customHeight="false" outlineLevel="0" collapsed="false">
      <c r="A63" s="54"/>
      <c r="B63" s="54"/>
      <c r="C63" s="54"/>
      <c r="D63" s="54"/>
      <c r="E63" s="54"/>
      <c r="F63" s="54"/>
      <c r="G63" s="54"/>
      <c r="H63" s="54"/>
      <c r="I63" s="54"/>
    </row>
    <row r="64" customFormat="false" ht="15.75" hidden="false" customHeight="false" outlineLevel="0" collapsed="false">
      <c r="A64" s="40" t="s">
        <v>39</v>
      </c>
      <c r="B64" s="40" t="s">
        <v>40</v>
      </c>
      <c r="C64" s="40" t="s">
        <v>39</v>
      </c>
      <c r="D64" s="40" t="s">
        <v>40</v>
      </c>
      <c r="E64" s="40" t="s">
        <v>39</v>
      </c>
      <c r="F64" s="40" t="s">
        <v>40</v>
      </c>
      <c r="G64" s="40" t="s">
        <v>39</v>
      </c>
      <c r="H64" s="40" t="s">
        <v>40</v>
      </c>
      <c r="I64" s="23"/>
    </row>
    <row r="65" customFormat="false" ht="15.75" hidden="false" customHeight="false" outlineLevel="0" collapsed="false">
      <c r="A65" s="43" t="n">
        <v>45894</v>
      </c>
      <c r="B65" s="44"/>
      <c r="C65" s="43" t="n">
        <v>45901</v>
      </c>
      <c r="D65" s="44"/>
      <c r="E65" s="43" t="n">
        <v>45908</v>
      </c>
      <c r="F65" s="44"/>
      <c r="G65" s="43" t="n">
        <v>45915</v>
      </c>
      <c r="H65" s="44"/>
      <c r="I65" s="45" t="n">
        <f aca="false">B71+D71+F71+H71</f>
        <v>720000</v>
      </c>
    </row>
    <row r="66" customFormat="false" ht="15.75" hidden="false" customHeight="false" outlineLevel="0" collapsed="false">
      <c r="A66" s="43" t="n">
        <v>45895</v>
      </c>
      <c r="B66" s="56"/>
      <c r="C66" s="43" t="n">
        <v>45902</v>
      </c>
      <c r="D66" s="47"/>
      <c r="E66" s="43" t="n">
        <v>45909</v>
      </c>
      <c r="F66" s="47"/>
      <c r="G66" s="43" t="n">
        <v>45916</v>
      </c>
      <c r="H66" s="47"/>
      <c r="I66" s="45"/>
    </row>
    <row r="67" customFormat="false" ht="15.75" hidden="false" customHeight="false" outlineLevel="0" collapsed="false">
      <c r="A67" s="43" t="n">
        <v>45896</v>
      </c>
      <c r="B67" s="56"/>
      <c r="C67" s="43" t="n">
        <v>45903</v>
      </c>
      <c r="D67" s="56"/>
      <c r="E67" s="43" t="n">
        <v>45910</v>
      </c>
      <c r="F67" s="56"/>
      <c r="G67" s="43" t="n">
        <v>45917</v>
      </c>
      <c r="H67" s="56"/>
      <c r="I67" s="45"/>
    </row>
    <row r="68" customFormat="false" ht="15.75" hidden="false" customHeight="false" outlineLevel="0" collapsed="false">
      <c r="A68" s="43" t="n">
        <v>45897</v>
      </c>
      <c r="B68" s="49" t="n">
        <v>180000</v>
      </c>
      <c r="C68" s="43" t="n">
        <v>45904</v>
      </c>
      <c r="D68" s="49" t="n">
        <v>180000</v>
      </c>
      <c r="E68" s="43" t="n">
        <v>45911</v>
      </c>
      <c r="F68" s="49" t="n">
        <v>180000</v>
      </c>
      <c r="G68" s="43" t="n">
        <v>45918</v>
      </c>
      <c r="H68" s="49" t="n">
        <v>180000</v>
      </c>
      <c r="I68" s="45"/>
    </row>
    <row r="69" customFormat="false" ht="15.75" hidden="false" customHeight="false" outlineLevel="0" collapsed="false">
      <c r="A69" s="43" t="n">
        <v>45898</v>
      </c>
      <c r="B69" s="47"/>
      <c r="C69" s="43" t="n">
        <v>45905</v>
      </c>
      <c r="D69" s="47"/>
      <c r="E69" s="43" t="n">
        <v>45912</v>
      </c>
      <c r="F69" s="47"/>
      <c r="G69" s="43" t="n">
        <v>45919</v>
      </c>
      <c r="H69" s="47"/>
      <c r="I69" s="45"/>
    </row>
    <row r="70" customFormat="false" ht="15.75" hidden="false" customHeight="false" outlineLevel="0" collapsed="false">
      <c r="A70" s="43" t="n">
        <v>45899</v>
      </c>
      <c r="B70" s="47"/>
      <c r="C70" s="43" t="n">
        <v>45906</v>
      </c>
      <c r="D70" s="47"/>
      <c r="E70" s="43" t="n">
        <v>45913</v>
      </c>
      <c r="F70" s="47"/>
      <c r="G70" s="43" t="n">
        <v>45920</v>
      </c>
      <c r="H70" s="47"/>
      <c r="I70" s="45"/>
    </row>
    <row r="71" customFormat="false" ht="15.75" hidden="false" customHeight="false" outlineLevel="0" collapsed="false">
      <c r="A71" s="23"/>
      <c r="B71" s="50" t="n">
        <f aca="false">SUM(B65:B70)</f>
        <v>180000</v>
      </c>
      <c r="C71" s="23"/>
      <c r="D71" s="50" t="n">
        <f aca="false">SUM(D65:D70)</f>
        <v>180000</v>
      </c>
      <c r="E71" s="23"/>
      <c r="F71" s="50" t="n">
        <f aca="false">SUM(F65:F70)</f>
        <v>180000</v>
      </c>
      <c r="G71" s="23"/>
      <c r="H71" s="50" t="n">
        <f aca="false">SUM(H65:H70)</f>
        <v>180000</v>
      </c>
      <c r="I71" s="51" t="n">
        <v>6</v>
      </c>
    </row>
    <row r="72" customFormat="false" ht="15.75" hidden="false" customHeight="false" outlineLevel="0" collapsed="false">
      <c r="A72" s="40" t="s">
        <v>41</v>
      </c>
      <c r="B72" s="52"/>
      <c r="C72" s="40" t="s">
        <v>41</v>
      </c>
      <c r="D72" s="52"/>
      <c r="E72" s="40" t="s">
        <v>41</v>
      </c>
      <c r="F72" s="52"/>
      <c r="G72" s="40" t="s">
        <v>41</v>
      </c>
      <c r="H72" s="52"/>
      <c r="I72" s="53" t="n">
        <v>1</v>
      </c>
    </row>
    <row r="73" customFormat="false" ht="15.75" hidden="false" customHeight="false" outlineLevel="0" collapsed="false">
      <c r="A73" s="54"/>
      <c r="B73" s="54"/>
      <c r="C73" s="54"/>
      <c r="D73" s="54"/>
      <c r="E73" s="54"/>
      <c r="F73" s="54"/>
      <c r="G73" s="54"/>
      <c r="H73" s="54"/>
      <c r="I73" s="54"/>
    </row>
    <row r="74" customFormat="false" ht="15.75" hidden="false" customHeight="false" outlineLevel="0" collapsed="false">
      <c r="A74" s="40" t="s">
        <v>39</v>
      </c>
      <c r="B74" s="40" t="s">
        <v>40</v>
      </c>
      <c r="C74" s="40" t="s">
        <v>39</v>
      </c>
      <c r="D74" s="40" t="s">
        <v>40</v>
      </c>
      <c r="E74" s="40" t="s">
        <v>39</v>
      </c>
      <c r="F74" s="40" t="s">
        <v>40</v>
      </c>
      <c r="G74" s="40" t="s">
        <v>39</v>
      </c>
      <c r="H74" s="40" t="s">
        <v>40</v>
      </c>
      <c r="I74" s="23"/>
    </row>
    <row r="75" customFormat="false" ht="15.75" hidden="false" customHeight="false" outlineLevel="0" collapsed="false">
      <c r="A75" s="43" t="n">
        <v>45922</v>
      </c>
      <c r="B75" s="44"/>
      <c r="C75" s="43" t="n">
        <v>45929</v>
      </c>
      <c r="D75" s="44"/>
      <c r="E75" s="43" t="n">
        <v>45936</v>
      </c>
      <c r="F75" s="44"/>
      <c r="G75" s="43" t="n">
        <v>45943</v>
      </c>
      <c r="H75" s="44"/>
      <c r="I75" s="45" t="n">
        <f aca="false">B81+D81+F81+H81</f>
        <v>720000</v>
      </c>
    </row>
    <row r="76" customFormat="false" ht="15.75" hidden="false" customHeight="false" outlineLevel="0" collapsed="false">
      <c r="A76" s="43" t="n">
        <v>45923</v>
      </c>
      <c r="B76" s="56"/>
      <c r="C76" s="43" t="n">
        <v>45930</v>
      </c>
      <c r="D76" s="47"/>
      <c r="E76" s="43" t="n">
        <v>45937</v>
      </c>
      <c r="F76" s="47"/>
      <c r="G76" s="43" t="n">
        <v>45944</v>
      </c>
      <c r="H76" s="47"/>
      <c r="I76" s="45"/>
    </row>
    <row r="77" customFormat="false" ht="15.75" hidden="false" customHeight="false" outlineLevel="0" collapsed="false">
      <c r="A77" s="43" t="n">
        <v>45924</v>
      </c>
      <c r="B77" s="56"/>
      <c r="C77" s="43" t="n">
        <v>45931</v>
      </c>
      <c r="D77" s="56"/>
      <c r="E77" s="43" t="n">
        <v>45938</v>
      </c>
      <c r="F77" s="56"/>
      <c r="G77" s="43" t="n">
        <v>45945</v>
      </c>
      <c r="H77" s="56"/>
      <c r="I77" s="45"/>
    </row>
    <row r="78" customFormat="false" ht="15.75" hidden="false" customHeight="false" outlineLevel="0" collapsed="false">
      <c r="A78" s="43" t="n">
        <v>45925</v>
      </c>
      <c r="B78" s="49" t="n">
        <v>180000</v>
      </c>
      <c r="C78" s="43" t="n">
        <v>45932</v>
      </c>
      <c r="D78" s="49" t="n">
        <v>180000</v>
      </c>
      <c r="E78" s="43" t="n">
        <v>45939</v>
      </c>
      <c r="F78" s="49" t="n">
        <v>180000</v>
      </c>
      <c r="G78" s="43" t="n">
        <v>45946</v>
      </c>
      <c r="H78" s="49" t="n">
        <v>180000</v>
      </c>
      <c r="I78" s="45"/>
    </row>
    <row r="79" customFormat="false" ht="15.75" hidden="false" customHeight="false" outlineLevel="0" collapsed="false">
      <c r="A79" s="43" t="n">
        <v>45926</v>
      </c>
      <c r="B79" s="47"/>
      <c r="C79" s="43" t="n">
        <v>45933</v>
      </c>
      <c r="D79" s="47"/>
      <c r="E79" s="43" t="n">
        <v>45940</v>
      </c>
      <c r="F79" s="47"/>
      <c r="G79" s="43" t="n">
        <v>45947</v>
      </c>
      <c r="H79" s="47"/>
      <c r="I79" s="45"/>
    </row>
    <row r="80" customFormat="false" ht="15.75" hidden="false" customHeight="false" outlineLevel="0" collapsed="false">
      <c r="A80" s="43" t="n">
        <v>45927</v>
      </c>
      <c r="B80" s="47"/>
      <c r="C80" s="43" t="n">
        <v>45934</v>
      </c>
      <c r="D80" s="47"/>
      <c r="E80" s="43" t="n">
        <v>45941</v>
      </c>
      <c r="F80" s="47"/>
      <c r="G80" s="43" t="n">
        <v>45948</v>
      </c>
      <c r="H80" s="47"/>
      <c r="I80" s="45"/>
    </row>
    <row r="81" customFormat="false" ht="15.75" hidden="false" customHeight="false" outlineLevel="0" collapsed="false">
      <c r="A81" s="23"/>
      <c r="B81" s="50" t="n">
        <f aca="false">SUM(B75:B80)</f>
        <v>180000</v>
      </c>
      <c r="C81" s="23"/>
      <c r="D81" s="50" t="n">
        <f aca="false">SUM(D75:D80)</f>
        <v>180000</v>
      </c>
      <c r="E81" s="23"/>
      <c r="F81" s="50" t="n">
        <f aca="false">SUM(F75:F80)</f>
        <v>180000</v>
      </c>
      <c r="G81" s="23"/>
      <c r="H81" s="50" t="n">
        <f aca="false">SUM(H75:H80)</f>
        <v>180000</v>
      </c>
      <c r="I81" s="51" t="n">
        <v>7</v>
      </c>
    </row>
    <row r="82" customFormat="false" ht="15.75" hidden="false" customHeight="false" outlineLevel="0" collapsed="false">
      <c r="A82" s="40" t="s">
        <v>41</v>
      </c>
      <c r="B82" s="52"/>
      <c r="C82" s="40" t="s">
        <v>41</v>
      </c>
      <c r="D82" s="52"/>
      <c r="E82" s="40" t="s">
        <v>41</v>
      </c>
      <c r="F82" s="52"/>
      <c r="G82" s="40" t="s">
        <v>41</v>
      </c>
      <c r="H82" s="52"/>
      <c r="I82" s="53" t="n">
        <v>1</v>
      </c>
    </row>
    <row r="83" customFormat="false" ht="15.75" hidden="false" customHeight="false" outlineLevel="0" collapsed="false">
      <c r="A83" s="54"/>
      <c r="B83" s="54"/>
      <c r="C83" s="54"/>
      <c r="D83" s="54"/>
      <c r="E83" s="54"/>
      <c r="F83" s="54"/>
      <c r="G83" s="54"/>
      <c r="H83" s="54"/>
      <c r="I83" s="54"/>
    </row>
    <row r="84" customFormat="false" ht="15.75" hidden="false" customHeight="false" outlineLevel="0" collapsed="false">
      <c r="A84" s="40" t="s">
        <v>39</v>
      </c>
      <c r="B84" s="40" t="s">
        <v>40</v>
      </c>
      <c r="C84" s="40" t="s">
        <v>39</v>
      </c>
      <c r="D84" s="40" t="s">
        <v>40</v>
      </c>
      <c r="E84" s="40" t="s">
        <v>39</v>
      </c>
      <c r="F84" s="40" t="s">
        <v>40</v>
      </c>
      <c r="G84" s="40" t="s">
        <v>39</v>
      </c>
      <c r="H84" s="40" t="s">
        <v>40</v>
      </c>
      <c r="I84" s="23"/>
    </row>
    <row r="85" customFormat="false" ht="15.75" hidden="false" customHeight="false" outlineLevel="0" collapsed="false">
      <c r="A85" s="43" t="n">
        <v>45950</v>
      </c>
      <c r="B85" s="44"/>
      <c r="C85" s="43" t="n">
        <v>45957</v>
      </c>
      <c r="D85" s="44"/>
      <c r="E85" s="43" t="n">
        <v>45964</v>
      </c>
      <c r="F85" s="44"/>
      <c r="G85" s="43" t="n">
        <v>45971</v>
      </c>
      <c r="H85" s="44"/>
      <c r="I85" s="45" t="n">
        <f aca="false">B91+D91+F91+H91</f>
        <v>720000</v>
      </c>
    </row>
    <row r="86" customFormat="false" ht="15.75" hidden="false" customHeight="false" outlineLevel="0" collapsed="false">
      <c r="A86" s="43" t="n">
        <v>45951</v>
      </c>
      <c r="B86" s="56"/>
      <c r="C86" s="43" t="n">
        <v>45958</v>
      </c>
      <c r="D86" s="47"/>
      <c r="E86" s="43" t="n">
        <v>45965</v>
      </c>
      <c r="F86" s="47"/>
      <c r="G86" s="43" t="n">
        <v>45972</v>
      </c>
      <c r="H86" s="47"/>
      <c r="I86" s="45"/>
    </row>
    <row r="87" customFormat="false" ht="15.75" hidden="false" customHeight="false" outlineLevel="0" collapsed="false">
      <c r="A87" s="43" t="n">
        <v>45952</v>
      </c>
      <c r="B87" s="56"/>
      <c r="C87" s="43" t="n">
        <v>45959</v>
      </c>
      <c r="D87" s="56"/>
      <c r="E87" s="43" t="n">
        <v>45966</v>
      </c>
      <c r="F87" s="56"/>
      <c r="G87" s="43" t="n">
        <v>45973</v>
      </c>
      <c r="H87" s="56"/>
      <c r="I87" s="45"/>
    </row>
    <row r="88" customFormat="false" ht="15.75" hidden="false" customHeight="false" outlineLevel="0" collapsed="false">
      <c r="A88" s="43" t="n">
        <v>45953</v>
      </c>
      <c r="B88" s="49" t="n">
        <v>180000</v>
      </c>
      <c r="C88" s="43" t="n">
        <v>45960</v>
      </c>
      <c r="D88" s="49" t="n">
        <v>180000</v>
      </c>
      <c r="E88" s="43" t="n">
        <v>45967</v>
      </c>
      <c r="F88" s="49" t="n">
        <v>180000</v>
      </c>
      <c r="G88" s="43" t="n">
        <v>45974</v>
      </c>
      <c r="H88" s="49" t="n">
        <v>180000</v>
      </c>
      <c r="I88" s="45"/>
    </row>
    <row r="89" customFormat="false" ht="15.75" hidden="false" customHeight="false" outlineLevel="0" collapsed="false">
      <c r="A89" s="43" t="n">
        <v>45954</v>
      </c>
      <c r="B89" s="47"/>
      <c r="C89" s="43" t="n">
        <v>45961</v>
      </c>
      <c r="D89" s="47"/>
      <c r="E89" s="43" t="n">
        <v>45968</v>
      </c>
      <c r="F89" s="47"/>
      <c r="G89" s="43" t="n">
        <v>45975</v>
      </c>
      <c r="H89" s="47"/>
      <c r="I89" s="45"/>
    </row>
    <row r="90" customFormat="false" ht="15.75" hidden="false" customHeight="false" outlineLevel="0" collapsed="false">
      <c r="A90" s="43" t="n">
        <v>45955</v>
      </c>
      <c r="B90" s="47"/>
      <c r="C90" s="43" t="n">
        <v>45962</v>
      </c>
      <c r="D90" s="47"/>
      <c r="E90" s="43" t="n">
        <v>45969</v>
      </c>
      <c r="F90" s="47"/>
      <c r="G90" s="43" t="n">
        <v>45976</v>
      </c>
      <c r="H90" s="47"/>
      <c r="I90" s="45"/>
    </row>
    <row r="91" customFormat="false" ht="15.75" hidden="false" customHeight="false" outlineLevel="0" collapsed="false">
      <c r="A91" s="23"/>
      <c r="B91" s="50" t="n">
        <f aca="false">SUM(B85:B90)</f>
        <v>180000</v>
      </c>
      <c r="C91" s="23"/>
      <c r="D91" s="50" t="n">
        <f aca="false">SUM(D85:D90)</f>
        <v>180000</v>
      </c>
      <c r="E91" s="23"/>
      <c r="F91" s="50" t="n">
        <f aca="false">SUM(F85:F90)</f>
        <v>180000</v>
      </c>
      <c r="G91" s="23"/>
      <c r="H91" s="50" t="n">
        <f aca="false">SUM(H85:H90)</f>
        <v>180000</v>
      </c>
      <c r="I91" s="51" t="n">
        <v>8</v>
      </c>
    </row>
    <row r="92" customFormat="false" ht="15.75" hidden="false" customHeight="false" outlineLevel="0" collapsed="false">
      <c r="A92" s="40" t="s">
        <v>41</v>
      </c>
      <c r="B92" s="52"/>
      <c r="C92" s="40" t="s">
        <v>41</v>
      </c>
      <c r="D92" s="52"/>
      <c r="E92" s="40" t="s">
        <v>41</v>
      </c>
      <c r="F92" s="52"/>
      <c r="G92" s="40" t="s">
        <v>41</v>
      </c>
      <c r="H92" s="52"/>
      <c r="I92" s="53" t="n">
        <v>1</v>
      </c>
    </row>
    <row r="93" customFormat="false" ht="15.75" hidden="false" customHeight="false" outlineLevel="0" collapsed="false">
      <c r="A93" s="54"/>
      <c r="B93" s="54"/>
      <c r="C93" s="54"/>
      <c r="D93" s="54"/>
      <c r="E93" s="54"/>
      <c r="F93" s="54"/>
      <c r="G93" s="54"/>
      <c r="H93" s="54"/>
      <c r="I93" s="54"/>
    </row>
    <row r="94" customFormat="false" ht="15.75" hidden="false" customHeight="false" outlineLevel="0" collapsed="false">
      <c r="A94" s="40" t="s">
        <v>39</v>
      </c>
      <c r="B94" s="40" t="s">
        <v>40</v>
      </c>
      <c r="C94" s="40" t="s">
        <v>39</v>
      </c>
      <c r="D94" s="40" t="s">
        <v>40</v>
      </c>
      <c r="E94" s="40" t="s">
        <v>39</v>
      </c>
      <c r="F94" s="40" t="s">
        <v>40</v>
      </c>
      <c r="G94" s="40" t="s">
        <v>39</v>
      </c>
      <c r="H94" s="40" t="s">
        <v>40</v>
      </c>
      <c r="I94" s="23"/>
    </row>
    <row r="95" customFormat="false" ht="15.75" hidden="false" customHeight="false" outlineLevel="0" collapsed="false">
      <c r="A95" s="43" t="n">
        <v>45978</v>
      </c>
      <c r="B95" s="44"/>
      <c r="C95" s="43" t="n">
        <v>45985</v>
      </c>
      <c r="D95" s="44"/>
      <c r="E95" s="43" t="n">
        <v>45992</v>
      </c>
      <c r="F95" s="44"/>
      <c r="G95" s="43" t="n">
        <v>45999</v>
      </c>
      <c r="H95" s="44"/>
      <c r="I95" s="45" t="n">
        <f aca="false">B101+D101+F101+H101</f>
        <v>720000</v>
      </c>
    </row>
    <row r="96" customFormat="false" ht="15.75" hidden="false" customHeight="false" outlineLevel="0" collapsed="false">
      <c r="A96" s="43" t="n">
        <v>45979</v>
      </c>
      <c r="B96" s="56"/>
      <c r="C96" s="43" t="n">
        <v>45986</v>
      </c>
      <c r="D96" s="47"/>
      <c r="E96" s="43" t="n">
        <v>45993</v>
      </c>
      <c r="F96" s="47"/>
      <c r="G96" s="43" t="n">
        <v>46000</v>
      </c>
      <c r="H96" s="47"/>
      <c r="I96" s="45"/>
    </row>
    <row r="97" customFormat="false" ht="15.75" hidden="false" customHeight="false" outlineLevel="0" collapsed="false">
      <c r="A97" s="43" t="n">
        <v>45980</v>
      </c>
      <c r="B97" s="56"/>
      <c r="C97" s="43" t="n">
        <v>45987</v>
      </c>
      <c r="D97" s="56"/>
      <c r="E97" s="43" t="n">
        <v>45994</v>
      </c>
      <c r="F97" s="56"/>
      <c r="G97" s="43" t="n">
        <v>46001</v>
      </c>
      <c r="H97" s="56"/>
      <c r="I97" s="45"/>
    </row>
    <row r="98" customFormat="false" ht="15.75" hidden="false" customHeight="false" outlineLevel="0" collapsed="false">
      <c r="A98" s="43" t="n">
        <v>45981</v>
      </c>
      <c r="B98" s="49" t="n">
        <v>180000</v>
      </c>
      <c r="C98" s="43" t="n">
        <v>45988</v>
      </c>
      <c r="D98" s="49" t="n">
        <v>180000</v>
      </c>
      <c r="E98" s="43" t="n">
        <v>45995</v>
      </c>
      <c r="F98" s="49" t="n">
        <v>180000</v>
      </c>
      <c r="G98" s="43" t="n">
        <v>46002</v>
      </c>
      <c r="H98" s="49" t="n">
        <v>180000</v>
      </c>
      <c r="I98" s="45"/>
    </row>
    <row r="99" customFormat="false" ht="15.75" hidden="false" customHeight="false" outlineLevel="0" collapsed="false">
      <c r="A99" s="43" t="n">
        <v>45982</v>
      </c>
      <c r="B99" s="47"/>
      <c r="C99" s="43" t="n">
        <v>45989</v>
      </c>
      <c r="D99" s="47"/>
      <c r="E99" s="43" t="n">
        <v>45996</v>
      </c>
      <c r="F99" s="47"/>
      <c r="G99" s="43" t="n">
        <v>46003</v>
      </c>
      <c r="H99" s="47"/>
      <c r="I99" s="45"/>
    </row>
    <row r="100" customFormat="false" ht="15.75" hidden="false" customHeight="false" outlineLevel="0" collapsed="false">
      <c r="A100" s="43" t="n">
        <v>45983</v>
      </c>
      <c r="B100" s="47"/>
      <c r="C100" s="43" t="n">
        <v>45990</v>
      </c>
      <c r="D100" s="47"/>
      <c r="E100" s="43" t="n">
        <v>45997</v>
      </c>
      <c r="F100" s="47"/>
      <c r="G100" s="43" t="n">
        <v>46004</v>
      </c>
      <c r="H100" s="47"/>
      <c r="I100" s="45"/>
    </row>
    <row r="101" customFormat="false" ht="15.75" hidden="false" customHeight="false" outlineLevel="0" collapsed="false">
      <c r="A101" s="23"/>
      <c r="B101" s="50" t="n">
        <f aca="false">SUM(B95:B100)</f>
        <v>180000</v>
      </c>
      <c r="C101" s="23"/>
      <c r="D101" s="50" t="n">
        <f aca="false">SUM(D95:D100)</f>
        <v>180000</v>
      </c>
      <c r="E101" s="23"/>
      <c r="F101" s="50" t="n">
        <f aca="false">SUM(F95:F100)</f>
        <v>180000</v>
      </c>
      <c r="G101" s="23"/>
      <c r="H101" s="50" t="n">
        <f aca="false">SUM(H95:H100)</f>
        <v>180000</v>
      </c>
      <c r="I101" s="51" t="n">
        <v>9</v>
      </c>
    </row>
    <row r="102" customFormat="false" ht="15.75" hidden="false" customHeight="false" outlineLevel="0" collapsed="false">
      <c r="A102" s="40" t="s">
        <v>41</v>
      </c>
      <c r="B102" s="52"/>
      <c r="C102" s="40" t="s">
        <v>41</v>
      </c>
      <c r="D102" s="52"/>
      <c r="E102" s="40" t="s">
        <v>41</v>
      </c>
      <c r="F102" s="52"/>
      <c r="G102" s="40" t="s">
        <v>41</v>
      </c>
      <c r="H102" s="52"/>
      <c r="I102" s="53" t="n">
        <v>1</v>
      </c>
    </row>
    <row r="103" customFormat="false" ht="15.75" hidden="false" customHeight="fals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</row>
    <row r="104" customFormat="false" ht="15.75" hidden="false" customHeight="false" outlineLevel="0" collapsed="false">
      <c r="A104" s="40" t="s">
        <v>39</v>
      </c>
      <c r="B104" s="40" t="s">
        <v>40</v>
      </c>
      <c r="C104" s="40" t="s">
        <v>39</v>
      </c>
      <c r="D104" s="40" t="s">
        <v>40</v>
      </c>
      <c r="E104" s="40" t="s">
        <v>39</v>
      </c>
      <c r="F104" s="40" t="s">
        <v>40</v>
      </c>
      <c r="G104" s="40" t="s">
        <v>39</v>
      </c>
      <c r="H104" s="40" t="s">
        <v>40</v>
      </c>
      <c r="I104" s="23"/>
    </row>
    <row r="105" customFormat="false" ht="15.75" hidden="false" customHeight="false" outlineLevel="0" collapsed="false">
      <c r="A105" s="43" t="n">
        <v>46006</v>
      </c>
      <c r="B105" s="44"/>
      <c r="C105" s="43" t="n">
        <v>46013</v>
      </c>
      <c r="D105" s="44"/>
      <c r="E105" s="43" t="n">
        <v>46020</v>
      </c>
      <c r="F105" s="44"/>
      <c r="G105" s="43" t="n">
        <v>46027</v>
      </c>
      <c r="H105" s="44"/>
      <c r="I105" s="45" t="n">
        <f aca="false">B111+D111+F111+H111</f>
        <v>720000</v>
      </c>
    </row>
    <row r="106" customFormat="false" ht="15.75" hidden="false" customHeight="false" outlineLevel="0" collapsed="false">
      <c r="A106" s="43" t="n">
        <v>46007</v>
      </c>
      <c r="B106" s="56"/>
      <c r="C106" s="43" t="n">
        <v>46014</v>
      </c>
      <c r="D106" s="47"/>
      <c r="E106" s="43" t="n">
        <v>46021</v>
      </c>
      <c r="F106" s="47"/>
      <c r="G106" s="43" t="n">
        <v>46028</v>
      </c>
      <c r="H106" s="47"/>
      <c r="I106" s="45"/>
    </row>
    <row r="107" customFormat="false" ht="15.75" hidden="false" customHeight="false" outlineLevel="0" collapsed="false">
      <c r="A107" s="43" t="n">
        <v>46008</v>
      </c>
      <c r="B107" s="56"/>
      <c r="C107" s="43" t="n">
        <v>46015</v>
      </c>
      <c r="D107" s="49" t="n">
        <v>162000</v>
      </c>
      <c r="E107" s="43" t="n">
        <v>46022</v>
      </c>
      <c r="F107" s="56"/>
      <c r="G107" s="43" t="n">
        <v>46029</v>
      </c>
      <c r="H107" s="56"/>
      <c r="I107" s="45"/>
    </row>
    <row r="108" customFormat="false" ht="15.75" hidden="false" customHeight="false" outlineLevel="0" collapsed="false">
      <c r="A108" s="43" t="n">
        <v>46009</v>
      </c>
      <c r="B108" s="49" t="n">
        <v>180000</v>
      </c>
      <c r="C108" s="43" t="n">
        <v>46016</v>
      </c>
      <c r="D108" s="57" t="n">
        <v>18000</v>
      </c>
      <c r="E108" s="43" t="n">
        <v>46023</v>
      </c>
      <c r="F108" s="49" t="n">
        <v>180000</v>
      </c>
      <c r="G108" s="43" t="n">
        <v>46030</v>
      </c>
      <c r="H108" s="49" t="n">
        <v>180000</v>
      </c>
      <c r="I108" s="45"/>
    </row>
    <row r="109" customFormat="false" ht="15.75" hidden="false" customHeight="false" outlineLevel="0" collapsed="false">
      <c r="A109" s="43" t="n">
        <v>46010</v>
      </c>
      <c r="B109" s="47"/>
      <c r="C109" s="43" t="n">
        <v>46017</v>
      </c>
      <c r="D109" s="47"/>
      <c r="E109" s="43" t="n">
        <v>46024</v>
      </c>
      <c r="F109" s="47"/>
      <c r="G109" s="43" t="n">
        <v>46031</v>
      </c>
      <c r="H109" s="47"/>
      <c r="I109" s="45"/>
    </row>
    <row r="110" customFormat="false" ht="15.75" hidden="false" customHeight="false" outlineLevel="0" collapsed="false">
      <c r="A110" s="43" t="n">
        <v>46011</v>
      </c>
      <c r="B110" s="47"/>
      <c r="C110" s="43" t="n">
        <v>46018</v>
      </c>
      <c r="D110" s="47"/>
      <c r="E110" s="43" t="n">
        <v>46025</v>
      </c>
      <c r="F110" s="47"/>
      <c r="G110" s="43" t="n">
        <v>46032</v>
      </c>
      <c r="H110" s="47"/>
      <c r="I110" s="45"/>
    </row>
    <row r="111" customFormat="false" ht="15.75" hidden="false" customHeight="false" outlineLevel="0" collapsed="false">
      <c r="A111" s="23"/>
      <c r="B111" s="50" t="n">
        <f aca="false">SUM(B105:B110)</f>
        <v>180000</v>
      </c>
      <c r="C111" s="23"/>
      <c r="D111" s="50" t="n">
        <f aca="false">SUM(D105:D110)</f>
        <v>180000</v>
      </c>
      <c r="E111" s="23"/>
      <c r="F111" s="50" t="n">
        <f aca="false">SUM(F105:F110)</f>
        <v>180000</v>
      </c>
      <c r="G111" s="23"/>
      <c r="H111" s="50" t="n">
        <f aca="false">SUM(H105:H110)</f>
        <v>180000</v>
      </c>
      <c r="I111" s="51" t="n">
        <v>10</v>
      </c>
    </row>
    <row r="112" customFormat="false" ht="15.75" hidden="false" customHeight="false" outlineLevel="0" collapsed="false">
      <c r="A112" s="40" t="s">
        <v>41</v>
      </c>
      <c r="B112" s="52"/>
      <c r="C112" s="40" t="s">
        <v>41</v>
      </c>
      <c r="D112" s="52"/>
      <c r="E112" s="40" t="s">
        <v>41</v>
      </c>
      <c r="F112" s="52" t="s">
        <v>55</v>
      </c>
      <c r="G112" s="40" t="s">
        <v>41</v>
      </c>
      <c r="H112" s="52" t="s">
        <v>56</v>
      </c>
      <c r="I112" s="53" t="n">
        <v>1</v>
      </c>
    </row>
    <row r="113" customFormat="false" ht="15.75" hidden="false" customHeight="fals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</row>
    <row r="114" customFormat="false" ht="15.75" hidden="false" customHeight="false" outlineLevel="0" collapsed="false">
      <c r="A114" s="40" t="s">
        <v>39</v>
      </c>
      <c r="B114" s="40" t="s">
        <v>40</v>
      </c>
      <c r="C114" s="40" t="s">
        <v>39</v>
      </c>
      <c r="D114" s="40" t="s">
        <v>40</v>
      </c>
      <c r="E114" s="40" t="s">
        <v>39</v>
      </c>
      <c r="F114" s="40" t="s">
        <v>40</v>
      </c>
      <c r="G114" s="40" t="s">
        <v>39</v>
      </c>
      <c r="H114" s="40" t="s">
        <v>40</v>
      </c>
      <c r="I114" s="23"/>
    </row>
    <row r="115" customFormat="false" ht="15.75" hidden="false" customHeight="false" outlineLevel="0" collapsed="false">
      <c r="A115" s="43" t="n">
        <v>46034</v>
      </c>
      <c r="B115" s="49" t="n">
        <v>180000</v>
      </c>
      <c r="C115" s="43" t="n">
        <v>46041</v>
      </c>
      <c r="D115" s="49" t="n">
        <v>180000</v>
      </c>
      <c r="E115" s="43" t="n">
        <v>46048</v>
      </c>
      <c r="F115" s="49" t="n">
        <v>180000</v>
      </c>
      <c r="G115" s="43" t="n">
        <v>46055</v>
      </c>
      <c r="H115" s="49" t="n">
        <v>180000</v>
      </c>
      <c r="I115" s="45" t="n">
        <f aca="false">B121+D121+F121+H121</f>
        <v>720000</v>
      </c>
    </row>
    <row r="116" customFormat="false" ht="15.75" hidden="false" customHeight="false" outlineLevel="0" collapsed="false">
      <c r="A116" s="43" t="n">
        <v>46035</v>
      </c>
      <c r="B116" s="56"/>
      <c r="C116" s="43" t="n">
        <v>46042</v>
      </c>
      <c r="D116" s="47"/>
      <c r="E116" s="43" t="n">
        <v>46049</v>
      </c>
      <c r="F116" s="47"/>
      <c r="G116" s="43" t="n">
        <v>46056</v>
      </c>
      <c r="H116" s="47"/>
      <c r="I116" s="45"/>
    </row>
    <row r="117" customFormat="false" ht="15.75" hidden="false" customHeight="false" outlineLevel="0" collapsed="false">
      <c r="A117" s="43" t="n">
        <v>46036</v>
      </c>
      <c r="B117" s="56"/>
      <c r="C117" s="43" t="n">
        <v>46043</v>
      </c>
      <c r="D117" s="56"/>
      <c r="E117" s="43" t="n">
        <v>46050</v>
      </c>
      <c r="F117" s="56"/>
      <c r="G117" s="43" t="n">
        <v>46057</v>
      </c>
      <c r="H117" s="56"/>
      <c r="I117" s="45"/>
    </row>
    <row r="118" customFormat="false" ht="15.75" hidden="false" customHeight="false" outlineLevel="0" collapsed="false">
      <c r="A118" s="43" t="n">
        <v>46037</v>
      </c>
      <c r="B118" s="58"/>
      <c r="C118" s="43" t="n">
        <v>46044</v>
      </c>
      <c r="D118" s="58"/>
      <c r="E118" s="43" t="n">
        <v>46051</v>
      </c>
      <c r="F118" s="58"/>
      <c r="G118" s="43" t="n">
        <v>46058</v>
      </c>
      <c r="H118" s="58"/>
      <c r="I118" s="45"/>
    </row>
    <row r="119" customFormat="false" ht="15.75" hidden="false" customHeight="false" outlineLevel="0" collapsed="false">
      <c r="A119" s="43" t="n">
        <v>46038</v>
      </c>
      <c r="B119" s="47"/>
      <c r="C119" s="43" t="n">
        <v>46045</v>
      </c>
      <c r="D119" s="47"/>
      <c r="E119" s="43" t="n">
        <v>46052</v>
      </c>
      <c r="F119" s="47"/>
      <c r="G119" s="43" t="n">
        <v>46059</v>
      </c>
      <c r="H119" s="47"/>
      <c r="I119" s="45"/>
    </row>
    <row r="120" customFormat="false" ht="15.75" hidden="false" customHeight="false" outlineLevel="0" collapsed="false">
      <c r="A120" s="43" t="n">
        <v>46039</v>
      </c>
      <c r="B120" s="47"/>
      <c r="C120" s="43" t="n">
        <v>46046</v>
      </c>
      <c r="D120" s="47"/>
      <c r="E120" s="43" t="n">
        <v>46053</v>
      </c>
      <c r="F120" s="47"/>
      <c r="G120" s="43" t="n">
        <v>46060</v>
      </c>
      <c r="H120" s="47"/>
      <c r="I120" s="45"/>
    </row>
    <row r="121" customFormat="false" ht="15.75" hidden="false" customHeight="false" outlineLevel="0" collapsed="false">
      <c r="A121" s="23"/>
      <c r="B121" s="50" t="n">
        <f aca="false">SUM(B115:B120)</f>
        <v>180000</v>
      </c>
      <c r="C121" s="23"/>
      <c r="D121" s="50" t="n">
        <f aca="false">SUM(D115:D120)</f>
        <v>180000</v>
      </c>
      <c r="E121" s="23"/>
      <c r="F121" s="50" t="n">
        <f aca="false">SUM(F115:F120)</f>
        <v>180000</v>
      </c>
      <c r="G121" s="23"/>
      <c r="H121" s="50" t="n">
        <f aca="false">SUM(H115:H120)</f>
        <v>180000</v>
      </c>
      <c r="I121" s="51" t="n">
        <v>11</v>
      </c>
    </row>
    <row r="122" customFormat="false" ht="15.75" hidden="false" customHeight="false" outlineLevel="0" collapsed="false">
      <c r="A122" s="40" t="s">
        <v>41</v>
      </c>
      <c r="B122" s="52"/>
      <c r="C122" s="40" t="s">
        <v>41</v>
      </c>
      <c r="D122" s="52"/>
      <c r="E122" s="40" t="s">
        <v>41</v>
      </c>
      <c r="F122" s="52" t="s">
        <v>55</v>
      </c>
      <c r="G122" s="40" t="s">
        <v>41</v>
      </c>
      <c r="H122" s="52" t="s">
        <v>56</v>
      </c>
      <c r="I122" s="53" t="n">
        <v>1</v>
      </c>
    </row>
    <row r="123" customFormat="false" ht="15.75" hidden="false" customHeight="fals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</row>
    <row r="124" customFormat="false" ht="15.75" hidden="false" customHeight="false" outlineLevel="0" collapsed="false">
      <c r="A124" s="40" t="s">
        <v>39</v>
      </c>
      <c r="B124" s="40" t="s">
        <v>40</v>
      </c>
      <c r="C124" s="40" t="s">
        <v>39</v>
      </c>
      <c r="D124" s="40" t="s">
        <v>40</v>
      </c>
      <c r="E124" s="40" t="s">
        <v>39</v>
      </c>
      <c r="F124" s="40" t="s">
        <v>40</v>
      </c>
      <c r="G124" s="40" t="s">
        <v>39</v>
      </c>
      <c r="H124" s="40" t="s">
        <v>40</v>
      </c>
      <c r="I124" s="23"/>
    </row>
    <row r="125" customFormat="false" ht="15.75" hidden="false" customHeight="false" outlineLevel="0" collapsed="false">
      <c r="A125" s="43" t="n">
        <v>46062</v>
      </c>
      <c r="B125" s="49" t="n">
        <v>180000</v>
      </c>
      <c r="C125" s="43" t="n">
        <v>46069</v>
      </c>
      <c r="D125" s="49" t="n">
        <v>180000</v>
      </c>
      <c r="E125" s="43" t="n">
        <v>46076</v>
      </c>
      <c r="F125" s="49" t="n">
        <v>180000</v>
      </c>
      <c r="G125" s="43" t="n">
        <v>46083</v>
      </c>
      <c r="H125" s="49" t="n">
        <v>180000</v>
      </c>
      <c r="I125" s="45" t="n">
        <f aca="false">B131+D131+F131+H131</f>
        <v>720000</v>
      </c>
    </row>
    <row r="126" customFormat="false" ht="15.75" hidden="false" customHeight="false" outlineLevel="0" collapsed="false">
      <c r="A126" s="43" t="n">
        <v>46063</v>
      </c>
      <c r="B126" s="56"/>
      <c r="C126" s="43" t="n">
        <v>46070</v>
      </c>
      <c r="D126" s="47"/>
      <c r="E126" s="43" t="n">
        <v>46077</v>
      </c>
      <c r="F126" s="47"/>
      <c r="G126" s="43" t="n">
        <v>46084</v>
      </c>
      <c r="H126" s="47"/>
      <c r="I126" s="45"/>
    </row>
    <row r="127" customFormat="false" ht="15.75" hidden="false" customHeight="false" outlineLevel="0" collapsed="false">
      <c r="A127" s="43" t="n">
        <v>46064</v>
      </c>
      <c r="B127" s="56"/>
      <c r="C127" s="43" t="n">
        <v>46071</v>
      </c>
      <c r="D127" s="56"/>
      <c r="E127" s="43" t="n">
        <v>46078</v>
      </c>
      <c r="F127" s="56"/>
      <c r="G127" s="43" t="n">
        <v>46085</v>
      </c>
      <c r="H127" s="56"/>
      <c r="I127" s="45"/>
    </row>
    <row r="128" customFormat="false" ht="15.75" hidden="false" customHeight="false" outlineLevel="0" collapsed="false">
      <c r="A128" s="43" t="n">
        <v>46065</v>
      </c>
      <c r="B128" s="58"/>
      <c r="C128" s="43" t="n">
        <v>46072</v>
      </c>
      <c r="D128" s="58"/>
      <c r="E128" s="43" t="n">
        <v>46079</v>
      </c>
      <c r="F128" s="58"/>
      <c r="G128" s="43" t="n">
        <v>46086</v>
      </c>
      <c r="H128" s="58"/>
      <c r="I128" s="45"/>
    </row>
    <row r="129" customFormat="false" ht="15.75" hidden="false" customHeight="false" outlineLevel="0" collapsed="false">
      <c r="A129" s="43" t="n">
        <v>46066</v>
      </c>
      <c r="B129" s="47"/>
      <c r="C129" s="43" t="n">
        <v>46073</v>
      </c>
      <c r="D129" s="47"/>
      <c r="E129" s="43" t="n">
        <v>46080</v>
      </c>
      <c r="F129" s="47"/>
      <c r="G129" s="43" t="n">
        <v>46087</v>
      </c>
      <c r="H129" s="47"/>
      <c r="I129" s="45"/>
    </row>
    <row r="130" customFormat="false" ht="15.75" hidden="false" customHeight="false" outlineLevel="0" collapsed="false">
      <c r="A130" s="43" t="n">
        <v>46067</v>
      </c>
      <c r="B130" s="47"/>
      <c r="C130" s="43" t="n">
        <v>46074</v>
      </c>
      <c r="D130" s="47"/>
      <c r="E130" s="43" t="n">
        <v>46081</v>
      </c>
      <c r="F130" s="47"/>
      <c r="G130" s="43" t="n">
        <v>46088</v>
      </c>
      <c r="H130" s="47"/>
      <c r="I130" s="45"/>
    </row>
    <row r="131" customFormat="false" ht="15.75" hidden="false" customHeight="false" outlineLevel="0" collapsed="false">
      <c r="A131" s="23"/>
      <c r="B131" s="50" t="n">
        <f aca="false">SUM(B125:B130)</f>
        <v>180000</v>
      </c>
      <c r="C131" s="23"/>
      <c r="D131" s="50" t="n">
        <f aca="false">SUM(D125:D130)</f>
        <v>180000</v>
      </c>
      <c r="E131" s="23"/>
      <c r="F131" s="50" t="n">
        <f aca="false">SUM(F125:F130)</f>
        <v>180000</v>
      </c>
      <c r="G131" s="23"/>
      <c r="H131" s="50" t="n">
        <f aca="false">SUM(H125:H130)</f>
        <v>180000</v>
      </c>
      <c r="I131" s="51" t="n">
        <v>12</v>
      </c>
    </row>
    <row r="132" customFormat="false" ht="15.75" hidden="false" customHeight="false" outlineLevel="0" collapsed="false">
      <c r="A132" s="40" t="s">
        <v>41</v>
      </c>
      <c r="B132" s="52"/>
      <c r="C132" s="40" t="s">
        <v>41</v>
      </c>
      <c r="D132" s="52"/>
      <c r="E132" s="40" t="s">
        <v>41</v>
      </c>
      <c r="F132" s="52"/>
      <c r="G132" s="40" t="s">
        <v>41</v>
      </c>
      <c r="H132" s="52"/>
      <c r="I132" s="53" t="n">
        <v>1</v>
      </c>
    </row>
    <row r="133" customFormat="false" ht="15.75" hidden="false" customHeight="fals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</row>
    <row r="134" customFormat="false" ht="15.75" hidden="false" customHeight="false" outlineLevel="0" collapsed="false">
      <c r="A134" s="40" t="s">
        <v>39</v>
      </c>
      <c r="B134" s="40" t="s">
        <v>40</v>
      </c>
      <c r="C134" s="40" t="s">
        <v>39</v>
      </c>
      <c r="D134" s="40" t="s">
        <v>40</v>
      </c>
      <c r="E134" s="40" t="s">
        <v>39</v>
      </c>
      <c r="F134" s="40" t="s">
        <v>40</v>
      </c>
      <c r="G134" s="40" t="s">
        <v>39</v>
      </c>
      <c r="H134" s="40" t="s">
        <v>40</v>
      </c>
      <c r="I134" s="23"/>
    </row>
    <row r="135" customFormat="false" ht="15.75" hidden="false" customHeight="false" outlineLevel="0" collapsed="false">
      <c r="A135" s="43" t="n">
        <v>46090</v>
      </c>
      <c r="B135" s="49" t="n">
        <v>180000</v>
      </c>
      <c r="C135" s="43" t="n">
        <v>46097</v>
      </c>
      <c r="D135" s="49" t="n">
        <v>180000</v>
      </c>
      <c r="E135" s="43" t="n">
        <v>46104</v>
      </c>
      <c r="F135" s="49" t="n">
        <v>180000</v>
      </c>
      <c r="G135" s="43" t="n">
        <v>46111</v>
      </c>
      <c r="H135" s="49" t="n">
        <v>180000</v>
      </c>
      <c r="I135" s="45" t="n">
        <f aca="false">B141+D141+F141+H141</f>
        <v>720000</v>
      </c>
    </row>
    <row r="136" customFormat="false" ht="15.75" hidden="false" customHeight="false" outlineLevel="0" collapsed="false">
      <c r="A136" s="43" t="n">
        <v>46091</v>
      </c>
      <c r="B136" s="56"/>
      <c r="C136" s="43" t="n">
        <v>46098</v>
      </c>
      <c r="D136" s="47"/>
      <c r="E136" s="43" t="n">
        <v>46105</v>
      </c>
      <c r="F136" s="47"/>
      <c r="G136" s="43" t="n">
        <v>46112</v>
      </c>
      <c r="H136" s="47"/>
      <c r="I136" s="45"/>
    </row>
    <row r="137" customFormat="false" ht="15.75" hidden="false" customHeight="false" outlineLevel="0" collapsed="false">
      <c r="A137" s="43" t="n">
        <v>46092</v>
      </c>
      <c r="B137" s="56"/>
      <c r="C137" s="43" t="n">
        <v>46099</v>
      </c>
      <c r="D137" s="56"/>
      <c r="E137" s="43" t="n">
        <v>46106</v>
      </c>
      <c r="F137" s="56"/>
      <c r="G137" s="43" t="n">
        <v>46113</v>
      </c>
      <c r="H137" s="56"/>
      <c r="I137" s="45"/>
    </row>
    <row r="138" customFormat="false" ht="15.75" hidden="false" customHeight="false" outlineLevel="0" collapsed="false">
      <c r="A138" s="43" t="n">
        <v>46093</v>
      </c>
      <c r="B138" s="58"/>
      <c r="C138" s="43" t="n">
        <v>46100</v>
      </c>
      <c r="D138" s="58"/>
      <c r="E138" s="43" t="n">
        <v>46107</v>
      </c>
      <c r="F138" s="58"/>
      <c r="G138" s="43" t="n">
        <v>46114</v>
      </c>
      <c r="H138" s="58"/>
      <c r="I138" s="45"/>
    </row>
    <row r="139" customFormat="false" ht="15.75" hidden="false" customHeight="false" outlineLevel="0" collapsed="false">
      <c r="A139" s="43" t="n">
        <v>46094</v>
      </c>
      <c r="B139" s="47"/>
      <c r="C139" s="43" t="n">
        <v>46101</v>
      </c>
      <c r="D139" s="47"/>
      <c r="E139" s="43" t="n">
        <v>46108</v>
      </c>
      <c r="F139" s="47"/>
      <c r="G139" s="43" t="n">
        <v>46115</v>
      </c>
      <c r="H139" s="47"/>
      <c r="I139" s="45"/>
    </row>
    <row r="140" customFormat="false" ht="15.75" hidden="false" customHeight="false" outlineLevel="0" collapsed="false">
      <c r="A140" s="43" t="n">
        <v>46095</v>
      </c>
      <c r="B140" s="47"/>
      <c r="C140" s="43" t="n">
        <v>46102</v>
      </c>
      <c r="D140" s="47"/>
      <c r="E140" s="43" t="n">
        <v>46109</v>
      </c>
      <c r="F140" s="47"/>
      <c r="G140" s="43" t="n">
        <v>46116</v>
      </c>
      <c r="H140" s="47"/>
      <c r="I140" s="45"/>
    </row>
    <row r="141" customFormat="false" ht="15.75" hidden="false" customHeight="false" outlineLevel="0" collapsed="false">
      <c r="A141" s="23"/>
      <c r="B141" s="50" t="n">
        <f aca="false">SUM(B135:B140)</f>
        <v>180000</v>
      </c>
      <c r="C141" s="23"/>
      <c r="D141" s="50" t="n">
        <f aca="false">SUM(D135:D140)</f>
        <v>180000</v>
      </c>
      <c r="E141" s="23"/>
      <c r="F141" s="50" t="n">
        <f aca="false">SUM(F135:F140)</f>
        <v>180000</v>
      </c>
      <c r="G141" s="23"/>
      <c r="H141" s="50" t="n">
        <f aca="false">SUM(H135:H140)</f>
        <v>180000</v>
      </c>
      <c r="I141" s="51" t="n">
        <v>13</v>
      </c>
    </row>
    <row r="142" customFormat="false" ht="15.75" hidden="false" customHeight="false" outlineLevel="0" collapsed="false">
      <c r="A142" s="40" t="s">
        <v>41</v>
      </c>
      <c r="B142" s="52"/>
      <c r="C142" s="40" t="s">
        <v>41</v>
      </c>
      <c r="D142" s="52"/>
      <c r="E142" s="40" t="s">
        <v>41</v>
      </c>
      <c r="F142" s="52"/>
      <c r="G142" s="40" t="s">
        <v>41</v>
      </c>
      <c r="H142" s="52"/>
      <c r="I142" s="53" t="n">
        <v>1</v>
      </c>
    </row>
    <row r="143" customFormat="false" ht="15.75" hidden="false" customHeight="fals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</row>
    <row r="144" customFormat="false" ht="15.75" hidden="false" customHeight="false" outlineLevel="0" collapsed="false">
      <c r="A144" s="40" t="s">
        <v>39</v>
      </c>
      <c r="B144" s="40" t="s">
        <v>40</v>
      </c>
      <c r="C144" s="40" t="s">
        <v>39</v>
      </c>
      <c r="D144" s="40" t="s">
        <v>40</v>
      </c>
      <c r="E144" s="40" t="s">
        <v>39</v>
      </c>
      <c r="F144" s="40" t="s">
        <v>40</v>
      </c>
      <c r="G144" s="40" t="s">
        <v>39</v>
      </c>
      <c r="H144" s="40" t="s">
        <v>40</v>
      </c>
      <c r="I144" s="23"/>
    </row>
    <row r="145" customFormat="false" ht="15.75" hidden="false" customHeight="false" outlineLevel="0" collapsed="false">
      <c r="A145" s="43" t="n">
        <v>46118</v>
      </c>
      <c r="B145" s="49" t="n">
        <v>180000</v>
      </c>
      <c r="C145" s="43" t="n">
        <v>46125</v>
      </c>
      <c r="D145" s="49" t="n">
        <v>180000</v>
      </c>
      <c r="E145" s="43" t="n">
        <v>46132</v>
      </c>
      <c r="F145" s="49" t="n">
        <v>180000</v>
      </c>
      <c r="G145" s="43" t="n">
        <v>46139</v>
      </c>
      <c r="H145" s="49" t="n">
        <v>180000</v>
      </c>
      <c r="I145" s="45" t="n">
        <f aca="false">B151+D151+F151+H151</f>
        <v>720000</v>
      </c>
    </row>
    <row r="146" customFormat="false" ht="15.75" hidden="false" customHeight="false" outlineLevel="0" collapsed="false">
      <c r="A146" s="43" t="n">
        <v>46119</v>
      </c>
      <c r="B146" s="56"/>
      <c r="C146" s="43" t="n">
        <v>46126</v>
      </c>
      <c r="D146" s="47"/>
      <c r="E146" s="43" t="n">
        <v>46133</v>
      </c>
      <c r="F146" s="47"/>
      <c r="G146" s="43" t="n">
        <v>46140</v>
      </c>
      <c r="H146" s="47"/>
      <c r="I146" s="45"/>
    </row>
    <row r="147" customFormat="false" ht="15.75" hidden="false" customHeight="false" outlineLevel="0" collapsed="false">
      <c r="A147" s="43" t="n">
        <v>46120</v>
      </c>
      <c r="B147" s="56"/>
      <c r="C147" s="43" t="n">
        <v>46127</v>
      </c>
      <c r="D147" s="56"/>
      <c r="E147" s="43" t="n">
        <v>46134</v>
      </c>
      <c r="F147" s="56"/>
      <c r="G147" s="43" t="n">
        <v>46141</v>
      </c>
      <c r="H147" s="56"/>
      <c r="I147" s="45"/>
    </row>
    <row r="148" customFormat="false" ht="15.75" hidden="false" customHeight="false" outlineLevel="0" collapsed="false">
      <c r="A148" s="43" t="n">
        <v>46121</v>
      </c>
      <c r="B148" s="58"/>
      <c r="C148" s="43" t="n">
        <v>46128</v>
      </c>
      <c r="D148" s="58"/>
      <c r="E148" s="43" t="n">
        <v>46135</v>
      </c>
      <c r="F148" s="58"/>
      <c r="G148" s="43" t="n">
        <v>46142</v>
      </c>
      <c r="H148" s="58"/>
      <c r="I148" s="45"/>
    </row>
    <row r="149" customFormat="false" ht="15.75" hidden="false" customHeight="false" outlineLevel="0" collapsed="false">
      <c r="A149" s="43" t="n">
        <v>46122</v>
      </c>
      <c r="B149" s="47"/>
      <c r="C149" s="43" t="n">
        <v>46129</v>
      </c>
      <c r="D149" s="47"/>
      <c r="E149" s="43" t="n">
        <v>46136</v>
      </c>
      <c r="F149" s="47"/>
      <c r="G149" s="43" t="n">
        <v>46143</v>
      </c>
      <c r="H149" s="47"/>
      <c r="I149" s="45"/>
    </row>
    <row r="150" customFormat="false" ht="15.75" hidden="false" customHeight="false" outlineLevel="0" collapsed="false">
      <c r="A150" s="43" t="n">
        <v>46123</v>
      </c>
      <c r="B150" s="47"/>
      <c r="C150" s="43" t="n">
        <v>46130</v>
      </c>
      <c r="D150" s="47"/>
      <c r="E150" s="43" t="n">
        <v>46137</v>
      </c>
      <c r="F150" s="47"/>
      <c r="G150" s="43" t="n">
        <v>46144</v>
      </c>
      <c r="H150" s="47"/>
      <c r="I150" s="45"/>
    </row>
    <row r="151" customFormat="false" ht="15.75" hidden="false" customHeight="false" outlineLevel="0" collapsed="false">
      <c r="A151" s="23"/>
      <c r="B151" s="50" t="n">
        <f aca="false">SUM(B145:B150)</f>
        <v>180000</v>
      </c>
      <c r="C151" s="23"/>
      <c r="D151" s="50" t="n">
        <f aca="false">SUM(D145:D150)</f>
        <v>180000</v>
      </c>
      <c r="E151" s="23"/>
      <c r="F151" s="50" t="n">
        <f aca="false">SUM(F145:F150)</f>
        <v>180000</v>
      </c>
      <c r="G151" s="23"/>
      <c r="H151" s="50" t="n">
        <f aca="false">SUM(H145:H150)</f>
        <v>180000</v>
      </c>
      <c r="I151" s="51" t="n">
        <v>14</v>
      </c>
    </row>
    <row r="152" customFormat="false" ht="15.75" hidden="false" customHeight="false" outlineLevel="0" collapsed="false">
      <c r="A152" s="40" t="s">
        <v>41</v>
      </c>
      <c r="B152" s="52"/>
      <c r="C152" s="40" t="s">
        <v>41</v>
      </c>
      <c r="D152" s="52"/>
      <c r="E152" s="40" t="s">
        <v>41</v>
      </c>
      <c r="F152" s="52"/>
      <c r="G152" s="40" t="s">
        <v>41</v>
      </c>
      <c r="H152" s="52"/>
      <c r="I152" s="53" t="n">
        <v>1</v>
      </c>
    </row>
    <row r="153" customFormat="false" ht="15.75" hidden="false" customHeight="fals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</row>
    <row r="154" customFormat="false" ht="15.75" hidden="false" customHeight="false" outlineLevel="0" collapsed="false">
      <c r="A154" s="40" t="s">
        <v>39</v>
      </c>
      <c r="B154" s="40" t="s">
        <v>40</v>
      </c>
      <c r="C154" s="40" t="s">
        <v>39</v>
      </c>
      <c r="D154" s="40" t="s">
        <v>40</v>
      </c>
      <c r="E154" s="40" t="s">
        <v>39</v>
      </c>
      <c r="F154" s="40" t="s">
        <v>40</v>
      </c>
      <c r="G154" s="40" t="s">
        <v>39</v>
      </c>
      <c r="H154" s="40" t="s">
        <v>40</v>
      </c>
      <c r="I154" s="23"/>
    </row>
    <row r="155" customFormat="false" ht="15.75" hidden="false" customHeight="false" outlineLevel="0" collapsed="false">
      <c r="A155" s="43" t="n">
        <v>46146</v>
      </c>
      <c r="B155" s="49" t="n">
        <v>180000</v>
      </c>
      <c r="C155" s="43" t="n">
        <v>46153</v>
      </c>
      <c r="D155" s="49" t="n">
        <v>180000</v>
      </c>
      <c r="E155" s="43" t="n">
        <v>46160</v>
      </c>
      <c r="F155" s="49" t="n">
        <v>180000</v>
      </c>
      <c r="G155" s="43" t="n">
        <v>46167</v>
      </c>
      <c r="H155" s="49"/>
      <c r="I155" s="45" t="n">
        <f aca="false">B161+D161+F161+H161</f>
        <v>540000</v>
      </c>
    </row>
    <row r="156" customFormat="false" ht="15.75" hidden="false" customHeight="false" outlineLevel="0" collapsed="false">
      <c r="A156" s="43" t="n">
        <v>46147</v>
      </c>
      <c r="B156" s="56"/>
      <c r="C156" s="43" t="n">
        <v>46154</v>
      </c>
      <c r="D156" s="47"/>
      <c r="E156" s="43" t="n">
        <v>46161</v>
      </c>
      <c r="F156" s="47"/>
      <c r="G156" s="43" t="n">
        <v>46168</v>
      </c>
      <c r="H156" s="47"/>
      <c r="I156" s="45"/>
    </row>
    <row r="157" customFormat="false" ht="15.75" hidden="false" customHeight="false" outlineLevel="0" collapsed="false">
      <c r="A157" s="43" t="n">
        <v>46148</v>
      </c>
      <c r="B157" s="56"/>
      <c r="C157" s="43" t="n">
        <v>46155</v>
      </c>
      <c r="D157" s="56"/>
      <c r="E157" s="43" t="n">
        <v>46162</v>
      </c>
      <c r="F157" s="56"/>
      <c r="G157" s="43" t="n">
        <v>46169</v>
      </c>
      <c r="H157" s="56"/>
      <c r="I157" s="45"/>
    </row>
    <row r="158" customFormat="false" ht="15.75" hidden="false" customHeight="false" outlineLevel="0" collapsed="false">
      <c r="A158" s="43" t="n">
        <v>46149</v>
      </c>
      <c r="B158" s="58"/>
      <c r="C158" s="43" t="n">
        <v>46156</v>
      </c>
      <c r="D158" s="58"/>
      <c r="E158" s="43" t="n">
        <v>46163</v>
      </c>
      <c r="F158" s="58"/>
      <c r="G158" s="43" t="n">
        <v>46170</v>
      </c>
      <c r="H158" s="58"/>
      <c r="I158" s="45"/>
    </row>
    <row r="159" customFormat="false" ht="15.75" hidden="false" customHeight="false" outlineLevel="0" collapsed="false">
      <c r="A159" s="43" t="n">
        <v>46150</v>
      </c>
      <c r="B159" s="47"/>
      <c r="C159" s="43" t="n">
        <v>46157</v>
      </c>
      <c r="D159" s="47"/>
      <c r="E159" s="43" t="n">
        <v>46164</v>
      </c>
      <c r="F159" s="47"/>
      <c r="G159" s="43" t="n">
        <v>46171</v>
      </c>
      <c r="H159" s="47"/>
      <c r="I159" s="45"/>
    </row>
    <row r="160" customFormat="false" ht="15.75" hidden="false" customHeight="false" outlineLevel="0" collapsed="false">
      <c r="A160" s="43" t="n">
        <v>46151</v>
      </c>
      <c r="B160" s="47"/>
      <c r="C160" s="43" t="n">
        <v>46158</v>
      </c>
      <c r="D160" s="47"/>
      <c r="E160" s="43" t="n">
        <v>46165</v>
      </c>
      <c r="F160" s="47"/>
      <c r="G160" s="43" t="n">
        <v>46172</v>
      </c>
      <c r="H160" s="47"/>
      <c r="I160" s="45"/>
    </row>
    <row r="161" customFormat="false" ht="15.75" hidden="false" customHeight="false" outlineLevel="0" collapsed="false">
      <c r="A161" s="23"/>
      <c r="B161" s="50" t="n">
        <f aca="false">SUM(B155:B160)</f>
        <v>180000</v>
      </c>
      <c r="C161" s="23"/>
      <c r="D161" s="50" t="n">
        <f aca="false">SUM(D155:D160)</f>
        <v>180000</v>
      </c>
      <c r="E161" s="23"/>
      <c r="F161" s="50" t="n">
        <f aca="false">SUM(F155:F160)</f>
        <v>180000</v>
      </c>
      <c r="G161" s="23"/>
      <c r="H161" s="50" t="n">
        <f aca="false">SUM(H155:H160)</f>
        <v>0</v>
      </c>
      <c r="I161" s="51" t="n">
        <v>15</v>
      </c>
    </row>
    <row r="162" customFormat="false" ht="15.75" hidden="false" customHeight="false" outlineLevel="0" collapsed="false">
      <c r="A162" s="40" t="s">
        <v>41</v>
      </c>
      <c r="B162" s="52"/>
      <c r="C162" s="40" t="s">
        <v>41</v>
      </c>
      <c r="D162" s="52"/>
      <c r="E162" s="40" t="s">
        <v>41</v>
      </c>
      <c r="F162" s="52"/>
      <c r="G162" s="40" t="s">
        <v>41</v>
      </c>
      <c r="H162" s="52"/>
      <c r="I162" s="53"/>
    </row>
    <row r="163" customFormat="false" ht="15.75" hidden="false" customHeight="fals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</row>
  </sheetData>
  <mergeCells count="27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G12"/>
    <mergeCell ref="I15:I20"/>
    <mergeCell ref="I25:I30"/>
    <mergeCell ref="I35:I40"/>
    <mergeCell ref="I45:I50"/>
    <mergeCell ref="I55:I60"/>
    <mergeCell ref="I65:I70"/>
    <mergeCell ref="I75:I80"/>
    <mergeCell ref="I85:I90"/>
    <mergeCell ref="I95:I100"/>
    <mergeCell ref="I105:I110"/>
    <mergeCell ref="I115:I120"/>
    <mergeCell ref="I125:I130"/>
    <mergeCell ref="I135:I140"/>
    <mergeCell ref="I145:I150"/>
    <mergeCell ref="I155:I16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46.13"/>
    <col collapsed="false" customWidth="true" hidden="false" outlineLevel="0" max="4" min="4" style="0" width="21.88"/>
    <col collapsed="false" customWidth="true" hidden="false" outlineLevel="0" max="5" min="5" style="0" width="18.63"/>
  </cols>
  <sheetData>
    <row r="1" customFormat="false" ht="33.75" hidden="false" customHeight="true" outlineLevel="0" collapsed="false">
      <c r="A1" s="59" t="s">
        <v>57</v>
      </c>
      <c r="B1" s="59"/>
      <c r="C1" s="59"/>
      <c r="D1" s="59"/>
      <c r="E1" s="59"/>
    </row>
    <row r="2" customFormat="false" ht="15.75" hidden="false" customHeight="false" outlineLevel="0" collapsed="false">
      <c r="A2" s="59"/>
      <c r="B2" s="59"/>
      <c r="C2" s="59"/>
      <c r="D2" s="59"/>
      <c r="E2" s="59"/>
    </row>
    <row r="3" customFormat="false" ht="15.75" hidden="false" customHeight="false" outlineLevel="0" collapsed="false">
      <c r="A3" s="59"/>
      <c r="B3" s="59"/>
      <c r="C3" s="59"/>
      <c r="D3" s="59"/>
      <c r="E3" s="59"/>
    </row>
    <row r="4" customFormat="false" ht="15.75" hidden="false" customHeight="false" outlineLevel="0" collapsed="false">
      <c r="A4" s="60"/>
      <c r="B4" s="60"/>
      <c r="C4" s="60"/>
      <c r="D4" s="60"/>
      <c r="E4" s="60"/>
    </row>
    <row r="5" customFormat="false" ht="15.75" hidden="false" customHeight="false" outlineLevel="0" collapsed="false">
      <c r="A5" s="61" t="s">
        <v>58</v>
      </c>
      <c r="B5" s="61"/>
      <c r="C5" s="62" t="str">
        <f aca="false">DATA!B4</f>
        <v>NOMBRE Y APELLIDO </v>
      </c>
      <c r="D5" s="62" t="str">
        <f aca="false">DATA!C4</f>
        <v>CEDULA </v>
      </c>
      <c r="E5" s="62" t="str">
        <f aca="false">DATA!D4</f>
        <v>N/CONTACTO</v>
      </c>
    </row>
    <row r="6" customFormat="false" ht="15.75" hidden="false" customHeight="false" outlineLevel="0" collapsed="false">
      <c r="A6" s="61"/>
      <c r="B6" s="61"/>
      <c r="C6" s="63" t="str">
        <f aca="false">DATA!B5</f>
        <v>JULIO CESAR </v>
      </c>
      <c r="D6" s="64" t="n">
        <f aca="false">PAGOS!C7</f>
        <v>5882282</v>
      </c>
      <c r="E6" s="63" t="n">
        <f aca="false">DATA!D5</f>
        <v>3126889237</v>
      </c>
    </row>
    <row r="7" customFormat="false" ht="15.75" hidden="false" customHeight="false" outlineLevel="0" collapsed="false">
      <c r="A7" s="61"/>
      <c r="B7" s="61"/>
      <c r="C7" s="65" t="str">
        <f aca="false">PAGOS!A7</f>
        <v>JULIO CESAR </v>
      </c>
      <c r="D7" s="66" t="s">
        <v>59</v>
      </c>
      <c r="E7" s="66"/>
    </row>
    <row r="8" customFormat="false" ht="28.5" hidden="false" customHeight="true" outlineLevel="0" collapsed="false">
      <c r="A8" s="61"/>
      <c r="B8" s="61"/>
      <c r="C8" s="65"/>
      <c r="D8" s="66"/>
      <c r="E8" s="66"/>
    </row>
    <row r="9" customFormat="false" ht="15.75" hidden="false" customHeight="false" outlineLevel="0" collapsed="false">
      <c r="A9" s="61"/>
      <c r="B9" s="61"/>
      <c r="C9" s="67" t="str">
        <f aca="false">PAGOS!A9</f>
        <v>SALDO ACTUAL PAGADO</v>
      </c>
      <c r="D9" s="67" t="str">
        <f aca="false">PAGOS!C9</f>
        <v>DEUDA  A PAGAR</v>
      </c>
      <c r="E9" s="67"/>
    </row>
    <row r="10" customFormat="false" ht="15.75" hidden="false" customHeight="false" outlineLevel="0" collapsed="false">
      <c r="A10" s="61"/>
      <c r="B10" s="61"/>
      <c r="C10" s="67"/>
      <c r="D10" s="67"/>
      <c r="E10" s="67"/>
    </row>
    <row r="11" customFormat="false" ht="15.75" hidden="false" customHeight="false" outlineLevel="0" collapsed="false">
      <c r="A11" s="61"/>
      <c r="B11" s="61"/>
      <c r="C11" s="67"/>
      <c r="D11" s="67"/>
      <c r="E11" s="67"/>
    </row>
    <row r="12" customFormat="false" ht="15.75" hidden="false" customHeight="false" outlineLevel="0" collapsed="false">
      <c r="A12" s="68"/>
      <c r="B12" s="68"/>
      <c r="C12" s="69" t="n">
        <f aca="false">PAGOS!A10</f>
        <v>10530000</v>
      </c>
      <c r="D12" s="70" t="n">
        <f aca="false">PAGOS!C10</f>
        <v>1881500</v>
      </c>
      <c r="E12" s="70"/>
    </row>
    <row r="13" customFormat="false" ht="15.75" hidden="false" customHeight="false" outlineLevel="0" collapsed="false">
      <c r="A13" s="71" t="s">
        <v>60</v>
      </c>
      <c r="B13" s="71"/>
      <c r="C13" s="72" t="str">
        <f aca="false">PAGOS!H9</f>
        <v>CUOTA MENSUAL #</v>
      </c>
      <c r="D13" s="73" t="s">
        <v>61</v>
      </c>
      <c r="E13" s="73"/>
    </row>
    <row r="14" customFormat="false" ht="15.75" hidden="false" customHeight="false" outlineLevel="0" collapsed="false">
      <c r="A14" s="74" t="n">
        <f aca="false">PAGOS!D5</f>
        <v>18</v>
      </c>
      <c r="B14" s="74"/>
      <c r="C14" s="75" t="n">
        <f aca="false">PAGOS!H11</f>
        <v>14</v>
      </c>
      <c r="D14" s="75" t="n">
        <f aca="false">PAGOS!D5-PAGOS!H11</f>
        <v>4</v>
      </c>
      <c r="E14" s="75"/>
    </row>
    <row r="15" customFormat="false" ht="15.75" hidden="false" customHeight="false" outlineLevel="0" collapsed="false">
      <c r="A15" s="76" t="s">
        <v>0</v>
      </c>
      <c r="B15" s="76" t="s">
        <v>1</v>
      </c>
      <c r="C15" s="76" t="s">
        <v>2</v>
      </c>
      <c r="D15" s="76" t="s">
        <v>3</v>
      </c>
      <c r="E15" s="76" t="s">
        <v>4</v>
      </c>
    </row>
    <row r="16" customFormat="false" ht="15.75" hidden="false" customHeight="false" outlineLevel="0" collapsed="false">
      <c r="A16" s="77" t="s">
        <v>8</v>
      </c>
      <c r="B16" s="77" t="str">
        <f aca="false">PAGOS!B2</f>
        <v>SBR</v>
      </c>
      <c r="C16" s="78" t="n">
        <f aca="false">PAGOS!C2</f>
        <v>2024</v>
      </c>
      <c r="D16" s="77" t="str">
        <f aca="false">PAGOS!D2</f>
        <v>BERA</v>
      </c>
      <c r="E16" s="77" t="s">
        <v>62</v>
      </c>
    </row>
    <row r="17" customFormat="false" ht="15.75" hidden="false" customHeight="false" outlineLevel="0" collapsed="false">
      <c r="A17" s="79"/>
      <c r="B17" s="79"/>
      <c r="C17" s="80" t="s">
        <v>26</v>
      </c>
      <c r="D17" s="81" t="s">
        <v>27</v>
      </c>
      <c r="E17" s="81" t="s">
        <v>28</v>
      </c>
    </row>
    <row r="18" customFormat="false" ht="15.75" hidden="false" customHeight="false" outlineLevel="0" collapsed="false">
      <c r="A18" s="79"/>
      <c r="B18" s="79"/>
      <c r="C18" s="82" t="s">
        <v>32</v>
      </c>
      <c r="D18" s="82" t="s">
        <v>32</v>
      </c>
      <c r="E18" s="83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6.63"/>
    <col collapsed="false" customWidth="true" hidden="false" outlineLevel="0" max="4" min="4" style="0" width="18.63"/>
  </cols>
  <sheetData>
    <row r="1" customFormat="false" ht="15.75" hidden="false" customHeight="false" outlineLevel="0" collapsed="false">
      <c r="A1" s="84" t="s">
        <v>63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5.75" hidden="false" customHeight="true" outlineLevel="0" collapsed="false">
      <c r="A2" s="84"/>
      <c r="B2" s="84"/>
      <c r="C2" s="84"/>
      <c r="D2" s="84"/>
      <c r="E2" s="84"/>
      <c r="F2" s="84"/>
      <c r="G2" s="84"/>
      <c r="H2" s="84"/>
      <c r="I2" s="84"/>
      <c r="J2" s="84"/>
    </row>
    <row r="3" customFormat="false" ht="15.75" hidden="false" customHeight="true" outlineLevel="0" collapsed="false">
      <c r="A3" s="84"/>
      <c r="B3" s="84"/>
      <c r="C3" s="84"/>
      <c r="D3" s="84"/>
      <c r="E3" s="84"/>
      <c r="F3" s="84"/>
      <c r="G3" s="84"/>
      <c r="H3" s="84"/>
      <c r="I3" s="84"/>
      <c r="J3" s="84"/>
    </row>
    <row r="4" customFormat="false" ht="15.75" hidden="false" customHeight="false" outlineLevel="0" collapsed="false">
      <c r="A4" s="85" t="s">
        <v>64</v>
      </c>
      <c r="B4" s="86" t="s">
        <v>65</v>
      </c>
      <c r="C4" s="86" t="s">
        <v>66</v>
      </c>
      <c r="D4" s="86" t="s">
        <v>67</v>
      </c>
      <c r="E4" s="86" t="s">
        <v>68</v>
      </c>
      <c r="F4" s="86" t="s">
        <v>69</v>
      </c>
      <c r="G4" s="86" t="s">
        <v>70</v>
      </c>
      <c r="H4" s="86" t="s">
        <v>71</v>
      </c>
      <c r="I4" s="86" t="s">
        <v>72</v>
      </c>
      <c r="J4" s="87"/>
    </row>
    <row r="5" customFormat="false" ht="15.75" hidden="false" customHeight="false" outlineLevel="0" collapsed="false">
      <c r="A5" s="88" t="s">
        <v>73</v>
      </c>
      <c r="B5" s="88" t="str">
        <f aca="false">PAGOS!A7</f>
        <v>JULIO CESAR </v>
      </c>
      <c r="C5" s="89" t="n">
        <f aca="false">PAGOS!C7</f>
        <v>5882282</v>
      </c>
      <c r="D5" s="89" t="n">
        <v>3126889237</v>
      </c>
      <c r="E5" s="90"/>
      <c r="F5" s="43" t="n">
        <v>45758</v>
      </c>
      <c r="G5" s="90"/>
      <c r="H5" s="90"/>
      <c r="I5" s="90"/>
      <c r="J5" s="90"/>
    </row>
    <row r="6" customFormat="false" ht="15.75" hidden="false" customHeight="false" outlineLevel="0" collapsed="false">
      <c r="A6" s="91"/>
      <c r="B6" s="91"/>
      <c r="C6" s="91"/>
      <c r="D6" s="91"/>
      <c r="E6" s="91"/>
      <c r="F6" s="91"/>
      <c r="G6" s="91"/>
      <c r="H6" s="91"/>
      <c r="I6" s="91"/>
      <c r="J6" s="91"/>
    </row>
    <row r="7" customFormat="false" ht="15.75" hidden="false" customHeight="false" outlineLevel="0" collapsed="false">
      <c r="A7" s="92"/>
      <c r="B7" s="92"/>
      <c r="C7" s="92"/>
      <c r="D7" s="92"/>
      <c r="E7" s="92"/>
      <c r="F7" s="92"/>
      <c r="G7" s="92"/>
      <c r="H7" s="92"/>
      <c r="I7" s="92"/>
      <c r="J7" s="92"/>
    </row>
    <row r="8" customFormat="false" ht="15.75" hidden="false" customHeight="false" outlineLevel="0" collapsed="false">
      <c r="A8" s="93"/>
      <c r="B8" s="94" t="s">
        <v>74</v>
      </c>
      <c r="C8" s="93"/>
      <c r="D8" s="93"/>
      <c r="E8" s="93"/>
      <c r="F8" s="93"/>
      <c r="G8" s="93"/>
      <c r="H8" s="93"/>
      <c r="I8" s="93"/>
      <c r="J8" s="93"/>
    </row>
    <row r="9" customFormat="false" ht="15.75" hidden="false" customHeight="false" outlineLevel="0" collapsed="false">
      <c r="A9" s="95"/>
      <c r="B9" s="96" t="s">
        <v>75</v>
      </c>
      <c r="C9" s="96" t="s">
        <v>76</v>
      </c>
      <c r="D9" s="86" t="s">
        <v>66</v>
      </c>
      <c r="E9" s="97" t="s">
        <v>67</v>
      </c>
      <c r="F9" s="95"/>
      <c r="G9" s="95"/>
      <c r="H9" s="95"/>
      <c r="I9" s="95"/>
      <c r="J9" s="95"/>
    </row>
    <row r="10" customFormat="false" ht="15.75" hidden="false" customHeight="false" outlineLevel="0" collapsed="false">
      <c r="A10" s="98"/>
      <c r="B10" s="99"/>
      <c r="C10" s="99"/>
      <c r="D10" s="99"/>
      <c r="E10" s="100"/>
      <c r="F10" s="98"/>
      <c r="G10" s="98"/>
      <c r="H10" s="98"/>
      <c r="I10" s="98"/>
      <c r="J10" s="98"/>
    </row>
    <row r="11" customFormat="false" ht="15.75" hidden="false" customHeight="false" outlineLevel="0" collapsed="false">
      <c r="A11" s="87"/>
      <c r="B11" s="99"/>
      <c r="C11" s="99"/>
      <c r="D11" s="99"/>
      <c r="E11" s="100"/>
      <c r="F11" s="87"/>
      <c r="G11" s="87"/>
      <c r="H11" s="87"/>
      <c r="I11" s="87"/>
      <c r="J11" s="87"/>
    </row>
    <row r="12" customFormat="false" ht="15.75" hidden="false" customHeight="false" outlineLevel="0" collapsed="false">
      <c r="A12" s="101"/>
      <c r="B12" s="101"/>
      <c r="C12" s="101"/>
      <c r="D12" s="101"/>
      <c r="E12" s="101"/>
      <c r="F12" s="101"/>
      <c r="G12" s="101"/>
      <c r="H12" s="101"/>
      <c r="I12" s="101"/>
      <c r="J12" s="101"/>
    </row>
    <row r="13" customFormat="false" ht="15.75" hidden="false" customHeight="false" outlineLevel="0" collapsed="false">
      <c r="A13" s="87"/>
      <c r="B13" s="96" t="s">
        <v>75</v>
      </c>
      <c r="C13" s="96" t="s">
        <v>76</v>
      </c>
      <c r="D13" s="86" t="s">
        <v>66</v>
      </c>
      <c r="E13" s="97" t="s">
        <v>67</v>
      </c>
      <c r="F13" s="87"/>
      <c r="G13" s="87"/>
      <c r="H13" s="87"/>
      <c r="I13" s="87"/>
      <c r="J13" s="87"/>
    </row>
    <row r="14" customFormat="false" ht="15.75" hidden="false" customHeight="false" outlineLevel="0" collapsed="false">
      <c r="A14" s="87"/>
      <c r="B14" s="99"/>
      <c r="C14" s="99"/>
      <c r="D14" s="99"/>
      <c r="E14" s="99"/>
      <c r="F14" s="87"/>
      <c r="G14" s="87"/>
      <c r="H14" s="87"/>
      <c r="I14" s="87"/>
      <c r="J14" s="87"/>
    </row>
    <row r="15" customFormat="false" ht="15.75" hidden="false" customHeight="false" outlineLevel="0" collapsed="false">
      <c r="A15" s="98"/>
      <c r="B15" s="99"/>
      <c r="C15" s="99"/>
      <c r="D15" s="99"/>
      <c r="E15" s="99"/>
      <c r="F15" s="98"/>
      <c r="G15" s="98"/>
      <c r="H15" s="98"/>
      <c r="I15" s="98"/>
      <c r="J15" s="98"/>
    </row>
    <row r="16" customFormat="false" ht="15.75" hidden="false" customHeight="fals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</row>
    <row r="17" customFormat="false" ht="15.75" hidden="false" customHeight="false" outlineLevel="0" collapsed="false">
      <c r="A17" s="98"/>
      <c r="B17" s="98"/>
      <c r="C17" s="98"/>
      <c r="D17" s="98"/>
      <c r="E17" s="98"/>
      <c r="F17" s="98"/>
      <c r="G17" s="98"/>
      <c r="H17" s="98"/>
      <c r="I17" s="98"/>
      <c r="J17" s="98"/>
    </row>
  </sheetData>
  <mergeCells count="1">
    <mergeCell ref="A1:J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2026-05-29T23:55:14Z</dcterms:modified>
  <cp:revision>1</cp:revision>
  <dc:subject/>
  <dc:title/>
</cp:coreProperties>
</file>