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<sst xmlns="http://schemas.openxmlformats.org/spreadsheetml/2006/main" count="63" uniqueCount="40">
  <si>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</si>
  <si>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</si>
  <si>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</si>
  <si>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</si>
  <si>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</si>
  <si>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</si>
  <si>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</si>
  <si>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</si>
  <si>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</si>
  <si>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BERA</t>
  </si>
  <si>
    <t>SBR</t>
  </si>
  <si>
    <t>58B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</si>
  <si>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</si>
  <si>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</si>
  <si>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</si>
  <si>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</si>
  <si>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</si>
  <si>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</si>
  <si>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</si>
  <si>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</si>
  <si>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</si>
  <si>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</si>
  <si>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</si>
  <si>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</si>
  <si>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</si>
  <si>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</si>
  <si>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</si>
  <si>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</si>
  <si>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YUSMALYS </t>
  </si>
  <si>
    <t>DIAZ</t>
  </si>
  <si>
    <t>VENEZOLANA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</si>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</sst>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20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1.0"/>
      <color theme="1"/>
      <name val="Arial"/>
    </font>
    <font>
      <b/>
      <sz val="23.0"/>
      <color rgb="FFFFFFFF"/>
      <name val="Arial"/>
    </font>
    <font>
      <b/>
      <color rgb="FF46BDC6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readingOrder="0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6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3" fontId="2" numFmtId="164" xfId="0" applyAlignment="1" applyFont="1" applyNumberFormat="1">
      <alignment horizontal="center" readingOrder="0" vertical="bottom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4" xfId="0" applyAlignment="1" applyFont="1" applyNumberFormat="1">
      <alignment horizontal="center" vertical="bottom"/>
    </xf>
    <xf borderId="5" fillId="4" fontId="14" numFmtId="4" xfId="0" applyAlignment="1" applyBorder="1" applyFont="1" applyNumberFormat="1">
      <alignment horizontal="center" readingOrder="0" vertical="bottom"/>
    </xf>
    <xf borderId="0" fillId="13" fontId="15" numFmtId="3" xfId="0" applyAlignment="1" applyFont="1" applyNumberFormat="1">
      <alignment horizontal="center" vertical="bottom"/>
    </xf>
    <xf borderId="0" fillId="15" fontId="16" numFmtId="4" xfId="0" applyAlignment="1" applyFill="1" applyFont="1" applyNumberFormat="1">
      <alignment horizontal="center" vertical="bottom"/>
    </xf>
    <xf borderId="0" fillId="16" fontId="17" numFmtId="4" xfId="0" applyAlignment="1" applyFill="1" applyFont="1" applyNumberFormat="1">
      <alignment horizontal="center" vertical="bottom"/>
    </xf>
    <xf borderId="5" fillId="0" fontId="18" numFmtId="0" xfId="0" applyBorder="1" applyFont="1"/>
    <xf borderId="5" fillId="13" fontId="19" numFmtId="0" xfId="0" applyAlignment="1" applyBorder="1" applyFont="1">
      <alignment horizontal="center" vertical="bottom"/>
    </xf>
    <xf borderId="0" fillId="17" fontId="12" numFmtId="0" xfId="0" applyAlignment="1" applyFill="1" applyFont="1">
      <alignment vertical="bottom"/>
    </xf>
    <xf borderId="6" fillId="17" fontId="2" numFmtId="0" xfId="0" applyAlignment="1" applyBorder="1" applyFont="1">
      <alignment vertical="bottom"/>
    </xf>
    <xf borderId="7" fillId="17" fontId="2" numFmtId="0" xfId="0" applyAlignment="1" applyBorder="1" applyFont="1">
      <alignment vertical="bottom"/>
    </xf>
    <xf borderId="8" fillId="0" fontId="18" numFmtId="0" xfId="0" applyBorder="1" applyFont="1"/>
    <xf borderId="0" fillId="4" fontId="2" numFmtId="0" xfId="0" applyAlignment="1" applyFont="1">
      <alignment readingOrder="0" vertical="bottom"/>
    </xf>
    <xf borderId="0" fillId="13" fontId="2" numFmtId="0" xfId="0" applyAlignment="1" applyFont="1">
      <alignment horizontal="center" vertical="bottom"/>
    </xf>
    <xf borderId="0" fillId="18" fontId="2" numFmtId="166" xfId="0" applyAlignment="1" applyFill="1" applyFont="1" applyNumberFormat="1">
      <alignment horizontal="center" readingOrder="0" vertical="bottom"/>
    </xf>
    <xf borderId="0" fillId="0" fontId="20" numFmtId="164" xfId="0" applyAlignment="1" applyFont="1" applyNumberFormat="1">
      <alignment horizontal="center" readingOrder="0" textRotation="45" vertical="center"/>
    </xf>
    <xf borderId="0" fillId="13" fontId="21" numFmtId="164" xfId="0" applyAlignment="1" applyFont="1" applyNumberFormat="1">
      <alignment horizontal="center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11" fontId="2" numFmtId="167" xfId="0" applyAlignment="1" applyFont="1" applyNumberFormat="1">
      <alignment vertical="bottom"/>
    </xf>
    <xf borderId="0" fillId="13" fontId="2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209550</xdr:rowOff>
    </xdr:from>
    <xdr:ext cx="1685925" cy="190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1790700</xdr:colOff>
      <xdr:row>0</xdr:row>
      <xdr:rowOff>0</xdr:rowOff>
    </xdr:from>
    <xdr:ext cx="1781175" cy="27241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38"/>
    <col customWidth="1" min="2" max="2" width="21.88"/>
    <col customWidth="1" min="3" max="3" width="18.5"/>
    <col customWidth="1" min="4" max="4" width="17.0"/>
    <col customWidth="1" min="5" max="5" width="16.75"/>
    <col customWidth="1" min="6" max="6" width="15.63"/>
    <col customWidth="1" min="7" max="7" width="18.13"/>
    <col customWidth="1" min="8" max="8" width="23.88"/>
    <col customWidth="1" min="9" max="9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/>
      <c r="F2" s="9" t="s">
        <v>11</v>
      </c>
      <c r="G2" s="10">
        <v>6000000.0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5000000</v>
      </c>
      <c r="B5" s="15">
        <v>2.8648</v>
      </c>
      <c r="C5" s="16">
        <f>A5*B5</f>
        <v>14324000</v>
      </c>
      <c r="D5" s="17">
        <v>18.0</v>
      </c>
      <c r="E5" s="18">
        <f>C5/D5</f>
        <v>795777.7778</v>
      </c>
      <c r="F5" s="19">
        <f>E5/2</f>
        <v>397888.8889</v>
      </c>
      <c r="G5" s="20">
        <f>E5/4</f>
        <v>198944.4444</v>
      </c>
      <c r="H5" s="18">
        <f>G5/6</f>
        <v>33157.40741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20</v>
      </c>
      <c r="B6" s="21" t="s">
        <v>21</v>
      </c>
      <c r="C6" s="21" t="s">
        <v>22</v>
      </c>
      <c r="D6" s="21" t="s">
        <v>23</v>
      </c>
      <c r="E6" s="21" t="s">
        <v>24</v>
      </c>
      <c r="F6" s="22" t="s">
        <v>25</v>
      </c>
      <c r="G6" s="23" t="s">
        <v>26</v>
      </c>
      <c r="H6" s="23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28</v>
      </c>
      <c r="B7" s="24" t="s">
        <v>29</v>
      </c>
      <c r="C7" s="24">
        <v>5900641.0</v>
      </c>
      <c r="D7" s="25" t="s">
        <v>30</v>
      </c>
      <c r="E7" s="26">
        <v>3.001159708E9</v>
      </c>
      <c r="F7" s="27" t="s">
        <v>31</v>
      </c>
      <c r="G7" s="28" t="s">
        <v>31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2"/>
      <c r="G8" s="33"/>
      <c r="H8" s="3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32</v>
      </c>
      <c r="C9" s="36" t="s">
        <v>33</v>
      </c>
      <c r="E9" s="37" t="s">
        <v>34</v>
      </c>
      <c r="G9" s="37" t="s">
        <v>35</v>
      </c>
      <c r="H9" s="38" t="s">
        <v>15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9">
        <f>I16+I27</f>
        <v>0</v>
      </c>
      <c r="C10" s="40">
        <f>C5-A10</f>
        <v>14324000</v>
      </c>
      <c r="E10" s="41">
        <f>C10+G10</f>
        <v>14324000</v>
      </c>
      <c r="G10" s="32"/>
      <c r="H10" s="4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3">
        <f>I23+I34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36</v>
      </c>
      <c r="E12" s="45"/>
      <c r="F12" s="46"/>
      <c r="G12" s="46"/>
      <c r="H12" s="4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11"/>
      <c r="C14" s="48"/>
      <c r="D14" s="11"/>
      <c r="E14" s="11"/>
      <c r="F14" s="11"/>
      <c r="G14" s="11"/>
      <c r="H14" s="11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9" t="s">
        <v>37</v>
      </c>
      <c r="B15" s="49" t="s">
        <v>38</v>
      </c>
      <c r="C15" s="49" t="s">
        <v>37</v>
      </c>
      <c r="D15" s="49" t="s">
        <v>38</v>
      </c>
      <c r="E15" s="49" t="s">
        <v>37</v>
      </c>
      <c r="F15" s="49" t="s">
        <v>38</v>
      </c>
      <c r="G15" s="49" t="s">
        <v>37</v>
      </c>
      <c r="H15" s="49" t="s">
        <v>38</v>
      </c>
      <c r="I15" s="3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>
        <v>46174.0</v>
      </c>
      <c r="B16" s="51"/>
      <c r="C16" s="50">
        <v>46181.0</v>
      </c>
      <c r="D16" s="51"/>
      <c r="E16" s="50">
        <v>46188.0</v>
      </c>
      <c r="F16" s="51"/>
      <c r="G16" s="50">
        <v>46195.0</v>
      </c>
      <c r="H16" s="51"/>
      <c r="I16" s="52">
        <f>B22+D22+F22+H22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>
        <v>46175.0</v>
      </c>
      <c r="C17" s="50">
        <v>46182.0</v>
      </c>
      <c r="E17" s="50">
        <v>46189.0</v>
      </c>
      <c r="G17" s="50">
        <v>46196.0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>
        <v>46176.0</v>
      </c>
      <c r="C18" s="50">
        <v>46183.0</v>
      </c>
      <c r="E18" s="50">
        <v>46190.0</v>
      </c>
      <c r="G18" s="50">
        <v>46197.0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46177.0</v>
      </c>
      <c r="C19" s="50">
        <v>46184.0</v>
      </c>
      <c r="E19" s="50">
        <v>46191.0</v>
      </c>
      <c r="G19" s="50">
        <v>46198.0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46178.0</v>
      </c>
      <c r="C20" s="50">
        <v>46185.0</v>
      </c>
      <c r="E20" s="50">
        <v>46192.0</v>
      </c>
      <c r="G20" s="50">
        <v>46199.0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46179.0</v>
      </c>
      <c r="C21" s="50">
        <v>46186.0</v>
      </c>
      <c r="E21" s="50">
        <v>46193.0</v>
      </c>
      <c r="G21" s="50">
        <v>46200.0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0"/>
      <c r="B22" s="53">
        <f>SUM(B16:B21)</f>
        <v>0</v>
      </c>
      <c r="C22" s="30"/>
      <c r="D22" s="53">
        <f>SUM(D16:D21)</f>
        <v>0</v>
      </c>
      <c r="E22" s="30"/>
      <c r="F22" s="53">
        <f>SUM(F16:F21)</f>
        <v>0</v>
      </c>
      <c r="G22" s="30"/>
      <c r="H22" s="53">
        <f>SUM(H16:H21)</f>
        <v>0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9" t="s">
        <v>39</v>
      </c>
      <c r="B23" s="55"/>
      <c r="C23" s="49" t="s">
        <v>39</v>
      </c>
      <c r="D23" s="55"/>
      <c r="E23" s="49" t="s">
        <v>39</v>
      </c>
      <c r="F23" s="55"/>
      <c r="G23" s="49" t="s">
        <v>39</v>
      </c>
      <c r="H23" s="55"/>
      <c r="I23" s="5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 t="s">
        <v>37</v>
      </c>
      <c r="B26" s="49" t="s">
        <v>38</v>
      </c>
      <c r="C26" s="49" t="s">
        <v>37</v>
      </c>
      <c r="D26" s="49" t="s">
        <v>38</v>
      </c>
      <c r="E26" s="49" t="s">
        <v>37</v>
      </c>
      <c r="F26" s="49" t="s">
        <v>38</v>
      </c>
      <c r="G26" s="49" t="s">
        <v>37</v>
      </c>
      <c r="H26" s="49" t="s">
        <v>38</v>
      </c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0">
        <v>46202.0</v>
      </c>
      <c r="B27" s="51"/>
      <c r="C27" s="50">
        <v>46209.0</v>
      </c>
      <c r="D27" s="51"/>
      <c r="E27" s="50">
        <v>46216.0</v>
      </c>
      <c r="F27" s="51"/>
      <c r="G27" s="50">
        <v>46223.0</v>
      </c>
      <c r="H27" s="51"/>
      <c r="I27" s="52">
        <f>B33+D33+F33+H33</f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0">
        <v>46203.0</v>
      </c>
      <c r="C28" s="50">
        <v>46210.0</v>
      </c>
      <c r="E28" s="50">
        <v>46217.0</v>
      </c>
      <c r="G28" s="50">
        <v>46224.0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46204.0</v>
      </c>
      <c r="C29" s="50">
        <v>46211.0</v>
      </c>
      <c r="E29" s="50">
        <v>46218.0</v>
      </c>
      <c r="G29" s="50">
        <v>46225.0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46205.0</v>
      </c>
      <c r="C30" s="50">
        <v>46212.0</v>
      </c>
      <c r="E30" s="50">
        <v>46219.0</v>
      </c>
      <c r="G30" s="50">
        <v>46226.0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46206.0</v>
      </c>
      <c r="C31" s="50">
        <v>46213.0</v>
      </c>
      <c r="E31" s="50">
        <v>46220.0</v>
      </c>
      <c r="G31" s="50">
        <v>46227.0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0">
        <v>46207.0</v>
      </c>
      <c r="C32" s="50">
        <v>46214.0</v>
      </c>
      <c r="E32" s="50">
        <v>46221.0</v>
      </c>
      <c r="G32" s="50">
        <v>46228.0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0"/>
      <c r="B33" s="53">
        <f>SUM(B27:B32)</f>
        <v>0</v>
      </c>
      <c r="C33" s="30"/>
      <c r="D33" s="53">
        <f>SUM(D27:D32)</f>
        <v>0</v>
      </c>
      <c r="E33" s="30"/>
      <c r="F33" s="53">
        <f>SUM(F27:F32)</f>
        <v>0</v>
      </c>
      <c r="G33" s="30"/>
      <c r="H33" s="53">
        <f>SUM(H27:H32)</f>
        <v>0</v>
      </c>
      <c r="I33" s="58">
        <v>2.0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9" t="s">
        <v>39</v>
      </c>
      <c r="B34" s="55"/>
      <c r="C34" s="49" t="s">
        <v>39</v>
      </c>
      <c r="D34" s="55"/>
      <c r="E34" s="49" t="s">
        <v>39</v>
      </c>
      <c r="F34" s="55"/>
      <c r="G34" s="49" t="s">
        <v>39</v>
      </c>
      <c r="H34" s="55"/>
      <c r="I34" s="5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1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D16:D21"/>
    <mergeCell ref="D27:D32"/>
    <mergeCell ref="H16:H21"/>
    <mergeCell ref="H27:H32"/>
    <mergeCell ref="C10:D11"/>
    <mergeCell ref="A12:D12"/>
    <mergeCell ref="B16:B21"/>
    <mergeCell ref="F16:F21"/>
    <mergeCell ref="I16:I21"/>
    <mergeCell ref="B27:B32"/>
    <mergeCell ref="F27:F32"/>
    <mergeCell ref="I27:I32"/>
  </mergeCells>
  <drawing r:id="rId1"/>
</worksheet>
</file>