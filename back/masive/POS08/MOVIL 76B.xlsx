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<sst xmlns="http://schemas.openxmlformats.org/spreadsheetml/2006/main" count="51" uniqueCount="40">
  <si>
    <t xml:space="preserve">PAGOS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</si>
  <si>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</si>
  <si>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</si>
  <si>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</si>
  <si>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</si>
  <si>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</si>
  <si>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</si>
  <si>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</si>
  <si>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A219782G</t>
  </si>
  <si>
    <t xml:space="preserve">PULSAR NS 160</t>
  </si>
  <si>
    <t xml:space="preserve">BAJAJ</t>
  </si>
  <si>
    <t xml:space="preserve">DRS31I</t>
  </si>
  <si>
    <t xml:space="preserve">76B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</si>
  <si>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</si>
  <si>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</si>
  <si>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</si>
  <si>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</si>
  <si>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</si>
  <si>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</si>
  <si>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</si>
  <si>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</si>
  <si>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</si>
  <si>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APELLIDOS</t>
  </si>
  <si>
    <t xml:space="preserve">CEDULA</t>
  </si>
  <si>
    <t xml:space="preserve">NACIONALIDAD </t>
  </si>
  <si>
    <t xml:space="preserve">NUMERO</t>
  </si>
  <si>
    <t xml:space="preserve">Traspaso de propiedad</t>
  </si>
  <si>
    <t xml:space="preserve">DEUDA DE SEMANA </t>
  </si>
  <si>
    <t xml:space="preserve">CRISTIAN OMAR</t>
  </si>
  <si>
    <t xml:space="preserve">LEDESMA YEPES</t>
  </si>
  <si>
    <t xml:space="preserve">COLOMBIANA</t>
  </si>
  <si>
    <t xml:space="preserve">SOAT</t>
  </si>
  <si>
    <t xml:space="preserve">FIRMA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</si>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</sst>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.00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23"/>
      <color rgb="FF00000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19"/>
      <color rgb="FFFFFFFF"/>
      <name val="Arial"/>
      <family val="0"/>
      <charset val="1"/>
    </font>
    <font>
      <b val="true"/>
      <sz val="30"/>
      <color rgb="FF000000"/>
      <name val="Arial"/>
      <family val="0"/>
      <charset val="1"/>
    </font>
    <font>
      <sz val="11"/>
      <color rgb="FF6AA84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34A853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FFFFF"/>
      </patternFill>
    </fill>
    <fill>
      <patternFill patternType="solid">
        <fgColor rgb="FFB7B7B7"/>
        <bgColor rgb="FFCCCCFF"/>
      </patternFill>
    </fill>
    <fill>
      <patternFill patternType="solid">
        <fgColor rgb="FFFF0000"/>
        <bgColor rgb="FFEA4335"/>
      </patternFill>
    </fill>
    <fill>
      <patternFill patternType="solid">
        <fgColor rgb="FF46BDC6"/>
        <bgColor rgb="FF34A853"/>
      </patternFill>
    </fill>
    <fill>
      <patternFill patternType="solid">
        <fgColor rgb="FFEA4335"/>
        <bgColor rgb="FF993366"/>
      </patternFill>
    </fill>
    <fill>
      <patternFill patternType="solid">
        <fgColor rgb="FF1155CC"/>
        <bgColor rgb="FF0077D9"/>
      </patternFill>
    </fill>
    <fill>
      <patternFill patternType="solid">
        <fgColor rgb="FF4285F4"/>
        <bgColor rgb="FF3D85C6"/>
      </patternFill>
    </fill>
    <fill>
      <patternFill patternType="solid">
        <fgColor rgb="FFFFFFFF"/>
        <bgColor rgb="FFF2F2F2"/>
      </patternFill>
    </fill>
    <fill>
      <patternFill patternType="solid">
        <fgColor rgb="FF134F5C"/>
        <bgColor rgb="FF434343"/>
      </patternFill>
    </fill>
    <fill>
      <patternFill patternType="solid">
        <fgColor rgb="FF434343"/>
        <bgColor rgb="FF333300"/>
      </patternFill>
    </fill>
    <fill>
      <patternFill patternType="solid">
        <fgColor rgb="FF34A853"/>
        <bgColor rgb="FF6AA84F"/>
      </patternFill>
    </fill>
    <fill>
      <patternFill patternType="solid">
        <fgColor rgb="FF666666"/>
        <bgColor rgb="FF8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6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1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15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5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3D85C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EA4335"/>
      <rgbColor rgb="FF666666"/>
      <rgbColor rgb="FF6AA84F"/>
      <rgbColor rgb="FF134F5C"/>
      <rgbColor rgb="FF34A853"/>
      <rgbColor rgb="FF003300"/>
      <rgbColor rgb="FF333300"/>
      <rgbColor rgb="FF993300"/>
      <rgbColor rgb="FF993366"/>
      <rgbColor rgb="FF1155CC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107640</xdr:colOff>
      <xdr:row>0</xdr:row>
      <xdr:rowOff>0</xdr:rowOff>
    </xdr:from>
    <xdr:to>
      <xdr:col>9</xdr:col>
      <xdr:colOff>250560</xdr:colOff>
      <xdr:row>12</xdr:row>
      <xdr:rowOff>190080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902600" y="0"/>
          <a:ext cx="1914120" cy="25905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M16" activeCellId="0" sqref="M1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25"/>
    <col collapsed="false" customWidth="true" hidden="false" outlineLevel="0" max="2" min="2" style="0" width="20.13"/>
    <col collapsed="false" customWidth="true" hidden="false" outlineLevel="0" max="3" min="3" style="0" width="19.51"/>
    <col collapsed="false" customWidth="true" hidden="false" outlineLevel="0" max="4" min="4" style="0" width="17.88"/>
    <col collapsed="false" customWidth="true" hidden="false" outlineLevel="0" max="5" min="5" style="0" width="18.63"/>
    <col collapsed="false" customWidth="true" hidden="false" outlineLevel="0" max="6" min="6" style="0" width="16.75"/>
    <col collapsed="false" customWidth="true" hidden="false" outlineLevel="0" max="7" min="7" style="0" width="21.5"/>
    <col collapsed="false" customWidth="true" hidden="false" outlineLevel="0" max="8" min="8" style="0" width="20.51"/>
    <col collapsed="false" customWidth="true" hidden="false" outlineLevel="0" max="9" min="9" style="0" width="25.1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5" t="s">
        <v>9</v>
      </c>
      <c r="C2" s="6" t="n">
        <v>2027</v>
      </c>
      <c r="D2" s="7" t="s">
        <v>10</v>
      </c>
      <c r="E2" s="8" t="s">
        <v>11</v>
      </c>
      <c r="F2" s="9" t="s">
        <v>12</v>
      </c>
      <c r="G2" s="10" t="n">
        <v>11985000</v>
      </c>
      <c r="H2" s="10" t="n">
        <v>3000000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11"/>
      <c r="B3" s="11"/>
      <c r="C3" s="11"/>
      <c r="D3" s="11"/>
      <c r="E3" s="11"/>
      <c r="F3" s="11"/>
      <c r="G3" s="11"/>
      <c r="H3" s="12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3" t="s">
        <v>13</v>
      </c>
      <c r="B4" s="14" t="s">
        <v>14</v>
      </c>
      <c r="C4" s="14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14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5" t="n">
        <f aca="false">G2-H2</f>
        <v>8985000</v>
      </c>
      <c r="B5" s="15" t="n">
        <v>2.6859</v>
      </c>
      <c r="C5" s="16" t="n">
        <f aca="false">A5*B5</f>
        <v>24132811.5</v>
      </c>
      <c r="D5" s="5" t="n">
        <v>26</v>
      </c>
      <c r="E5" s="17" t="n">
        <f aca="false">C5/D5</f>
        <v>928185.0577</v>
      </c>
      <c r="F5" s="18" t="n">
        <f aca="false">E5/2</f>
        <v>464092.5288</v>
      </c>
      <c r="G5" s="17" t="n">
        <f aca="false">E5/4</f>
        <v>232046.2644</v>
      </c>
      <c r="H5" s="17" t="n">
        <f aca="false">G5/6</f>
        <v>38674.3774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9" t="s">
        <v>21</v>
      </c>
      <c r="B6" s="19" t="s">
        <v>22</v>
      </c>
      <c r="C6" s="19" t="s">
        <v>23</v>
      </c>
      <c r="D6" s="19" t="s">
        <v>24</v>
      </c>
      <c r="E6" s="19" t="s">
        <v>25</v>
      </c>
      <c r="F6" s="3"/>
      <c r="G6" s="20" t="s">
        <v>26</v>
      </c>
      <c r="H6" s="20" t="s">
        <v>27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21" t="s">
        <v>28</v>
      </c>
      <c r="B7" s="21" t="s">
        <v>29</v>
      </c>
      <c r="C7" s="22" t="n">
        <v>1044916920</v>
      </c>
      <c r="D7" s="21" t="s">
        <v>30</v>
      </c>
      <c r="E7" s="21" t="n">
        <v>3015544724</v>
      </c>
      <c r="F7" s="23" t="s">
        <v>31</v>
      </c>
      <c r="G7" s="24" t="s">
        <v>32</v>
      </c>
      <c r="H7" s="25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6"/>
      <c r="B8" s="26"/>
      <c r="C8" s="26"/>
      <c r="D8" s="26"/>
      <c r="E8" s="27"/>
      <c r="F8" s="28"/>
      <c r="G8" s="3"/>
      <c r="H8" s="29" t="s">
        <v>16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0" t="s">
        <v>33</v>
      </c>
      <c r="B9" s="30"/>
      <c r="C9" s="31" t="s">
        <v>34</v>
      </c>
      <c r="D9" s="31"/>
      <c r="E9" s="31" t="s">
        <v>35</v>
      </c>
      <c r="F9" s="31"/>
      <c r="G9" s="32" t="s">
        <v>36</v>
      </c>
      <c r="H9" s="29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3" t="n">
        <f aca="false">H16+H25</f>
        <v>773392</v>
      </c>
      <c r="B10" s="33"/>
      <c r="C10" s="34" t="n">
        <f aca="false">C5-A10</f>
        <v>23359419.5</v>
      </c>
      <c r="D10" s="34"/>
      <c r="E10" s="35" t="n">
        <f aca="false">C10+G10</f>
        <v>23359419.5</v>
      </c>
      <c r="F10" s="35"/>
      <c r="G10" s="36"/>
      <c r="H10" s="37" t="n">
        <f aca="false">I21+I30</f>
        <v>1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3"/>
      <c r="B11" s="33"/>
      <c r="C11" s="34"/>
      <c r="D11" s="34"/>
      <c r="E11" s="35"/>
      <c r="F11" s="35"/>
      <c r="G11" s="36"/>
      <c r="H11" s="37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8" t="s">
        <v>37</v>
      </c>
      <c r="B12" s="38"/>
      <c r="C12" s="38"/>
      <c r="D12" s="38"/>
      <c r="E12" s="39"/>
      <c r="F12" s="40"/>
      <c r="G12" s="40"/>
      <c r="H12" s="41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44" t="s">
        <v>38</v>
      </c>
      <c r="B15" s="44" t="s">
        <v>38</v>
      </c>
      <c r="C15" s="44" t="s">
        <v>39</v>
      </c>
      <c r="D15" s="44" t="s">
        <v>38</v>
      </c>
      <c r="E15" s="44" t="s">
        <v>38</v>
      </c>
      <c r="F15" s="44" t="s">
        <v>39</v>
      </c>
      <c r="G15" s="44"/>
      <c r="H15" s="44"/>
      <c r="I15" s="4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46"/>
      <c r="B16" s="47" t="n">
        <v>46153</v>
      </c>
      <c r="C16" s="48" t="n">
        <v>309392</v>
      </c>
      <c r="D16" s="47" t="n">
        <v>46160</v>
      </c>
      <c r="E16" s="47" t="n">
        <v>46167</v>
      </c>
      <c r="F16" s="48" t="n">
        <v>464000</v>
      </c>
      <c r="G16" s="49"/>
      <c r="H16" s="50" t="n">
        <f aca="false">C22+F22</f>
        <v>773392</v>
      </c>
      <c r="I16" s="51" t="n">
        <v>1</v>
      </c>
      <c r="J16" s="43"/>
      <c r="K16" s="43"/>
      <c r="L16" s="43"/>
      <c r="M16" s="43"/>
      <c r="N16" s="43"/>
      <c r="O16" s="43"/>
      <c r="P16" s="43"/>
      <c r="Q16" s="43"/>
      <c r="R16" s="4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47"/>
      <c r="B17" s="47" t="n">
        <v>46154</v>
      </c>
      <c r="C17" s="48"/>
      <c r="D17" s="47" t="n">
        <v>46161</v>
      </c>
      <c r="E17" s="47" t="n">
        <v>46168</v>
      </c>
      <c r="F17" s="48"/>
      <c r="G17" s="49"/>
      <c r="H17" s="50"/>
      <c r="I17" s="50"/>
      <c r="J17" s="43"/>
      <c r="K17" s="43"/>
      <c r="L17" s="43"/>
      <c r="M17" s="43"/>
      <c r="N17" s="43"/>
      <c r="O17" s="43"/>
      <c r="P17" s="43"/>
      <c r="Q17" s="43"/>
      <c r="R17" s="4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47"/>
      <c r="B18" s="47" t="n">
        <v>46155</v>
      </c>
      <c r="C18" s="48"/>
      <c r="D18" s="47" t="n">
        <v>46162</v>
      </c>
      <c r="E18" s="47" t="n">
        <v>46169</v>
      </c>
      <c r="F18" s="48"/>
      <c r="G18" s="49"/>
      <c r="H18" s="50"/>
      <c r="I18" s="50"/>
      <c r="J18" s="43"/>
      <c r="K18" s="43"/>
      <c r="L18" s="43"/>
      <c r="M18" s="43"/>
      <c r="N18" s="43"/>
      <c r="O18" s="43"/>
      <c r="P18" s="43"/>
      <c r="Q18" s="43"/>
      <c r="R18" s="4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47" t="n">
        <v>46149</v>
      </c>
      <c r="B19" s="47" t="n">
        <v>46156</v>
      </c>
      <c r="C19" s="48"/>
      <c r="D19" s="47" t="n">
        <v>46163</v>
      </c>
      <c r="E19" s="47" t="n">
        <v>46170</v>
      </c>
      <c r="F19" s="48"/>
      <c r="G19" s="49"/>
      <c r="H19" s="50"/>
      <c r="I19" s="50"/>
      <c r="J19" s="43"/>
      <c r="K19" s="43"/>
      <c r="L19" s="43"/>
      <c r="M19" s="43"/>
      <c r="N19" s="43"/>
      <c r="O19" s="43"/>
      <c r="P19" s="43"/>
      <c r="Q19" s="43"/>
      <c r="R19" s="4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47" t="n">
        <v>46150</v>
      </c>
      <c r="B20" s="47" t="n">
        <v>46157</v>
      </c>
      <c r="C20" s="48"/>
      <c r="D20" s="47" t="n">
        <v>46164</v>
      </c>
      <c r="E20" s="47" t="n">
        <v>46171</v>
      </c>
      <c r="F20" s="48"/>
      <c r="G20" s="49"/>
      <c r="H20" s="50"/>
      <c r="I20" s="50"/>
      <c r="J20" s="43"/>
      <c r="K20" s="43"/>
      <c r="L20" s="43"/>
      <c r="M20" s="43"/>
      <c r="N20" s="43"/>
      <c r="O20" s="43"/>
      <c r="P20" s="43"/>
      <c r="Q20" s="43"/>
      <c r="R20" s="4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47" t="n">
        <v>46151</v>
      </c>
      <c r="B21" s="47" t="n">
        <v>46158</v>
      </c>
      <c r="C21" s="48"/>
      <c r="D21" s="47" t="n">
        <v>46165</v>
      </c>
      <c r="E21" s="47" t="n">
        <v>46172</v>
      </c>
      <c r="F21" s="48"/>
      <c r="G21" s="52"/>
      <c r="H21" s="50"/>
      <c r="I21" s="53" t="n">
        <v>1</v>
      </c>
      <c r="J21" s="43"/>
      <c r="K21" s="43"/>
      <c r="L21" s="43"/>
      <c r="M21" s="43"/>
      <c r="N21" s="43"/>
      <c r="O21" s="43"/>
      <c r="P21" s="43"/>
      <c r="Q21" s="43"/>
      <c r="R21" s="4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54"/>
      <c r="B22" s="55"/>
      <c r="C22" s="56" t="n">
        <f aca="false">SUM(C16:C21)</f>
        <v>309392</v>
      </c>
      <c r="D22" s="57"/>
      <c r="E22" s="57"/>
      <c r="F22" s="58" t="n">
        <f aca="false">SUM(F16:F21)</f>
        <v>464000</v>
      </c>
      <c r="G22" s="54"/>
      <c r="H22" s="57"/>
      <c r="I22" s="54"/>
      <c r="J22" s="43"/>
      <c r="K22" s="43"/>
      <c r="L22" s="43"/>
      <c r="M22" s="43"/>
      <c r="N22" s="43"/>
      <c r="O22" s="43"/>
      <c r="P22" s="43"/>
      <c r="Q22" s="43"/>
      <c r="R22" s="4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3"/>
      <c r="K23" s="43"/>
      <c r="L23" s="43"/>
      <c r="M23" s="43"/>
      <c r="N23" s="43"/>
      <c r="O23" s="43"/>
      <c r="P23" s="43"/>
      <c r="Q23" s="43"/>
      <c r="R23" s="4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44" t="s">
        <v>38</v>
      </c>
      <c r="B24" s="44" t="s">
        <v>38</v>
      </c>
      <c r="C24" s="44" t="s">
        <v>39</v>
      </c>
      <c r="D24" s="44" t="s">
        <v>38</v>
      </c>
      <c r="E24" s="44" t="s">
        <v>38</v>
      </c>
      <c r="F24" s="44" t="s">
        <v>39</v>
      </c>
      <c r="G24" s="44"/>
      <c r="H24" s="44"/>
      <c r="I24" s="4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7" t="n">
        <v>46174</v>
      </c>
      <c r="B25" s="47" t="n">
        <v>46181</v>
      </c>
      <c r="C25" s="48"/>
      <c r="D25" s="47" t="n">
        <v>46188</v>
      </c>
      <c r="E25" s="47" t="n">
        <v>46195</v>
      </c>
      <c r="F25" s="48"/>
      <c r="G25" s="49"/>
      <c r="H25" s="50" t="n">
        <f aca="false">C31+F31</f>
        <v>0</v>
      </c>
      <c r="I25" s="51" t="n">
        <v>2</v>
      </c>
      <c r="J25" s="43"/>
      <c r="K25" s="43"/>
      <c r="L25" s="43"/>
      <c r="M25" s="43"/>
      <c r="N25" s="43"/>
      <c r="O25" s="43"/>
      <c r="P25" s="43"/>
      <c r="Q25" s="43"/>
      <c r="R25" s="4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7" t="n">
        <v>46175</v>
      </c>
      <c r="B26" s="47" t="n">
        <v>46182</v>
      </c>
      <c r="C26" s="48"/>
      <c r="D26" s="47" t="n">
        <v>46189</v>
      </c>
      <c r="E26" s="47" t="n">
        <v>46196</v>
      </c>
      <c r="F26" s="48"/>
      <c r="G26" s="49"/>
      <c r="H26" s="50"/>
      <c r="I26" s="50"/>
      <c r="J26" s="43"/>
      <c r="K26" s="43"/>
      <c r="L26" s="43"/>
      <c r="M26" s="43"/>
      <c r="N26" s="43"/>
      <c r="O26" s="43"/>
      <c r="P26" s="43"/>
      <c r="Q26" s="43"/>
      <c r="R26" s="4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7" t="n">
        <v>46176</v>
      </c>
      <c r="B27" s="47" t="n">
        <v>46183</v>
      </c>
      <c r="C27" s="48"/>
      <c r="D27" s="47" t="n">
        <v>46190</v>
      </c>
      <c r="E27" s="47" t="n">
        <v>46197</v>
      </c>
      <c r="F27" s="48"/>
      <c r="G27" s="49"/>
      <c r="H27" s="50"/>
      <c r="I27" s="50"/>
      <c r="J27" s="43"/>
      <c r="K27" s="43"/>
      <c r="L27" s="43"/>
      <c r="M27" s="43"/>
      <c r="N27" s="43"/>
      <c r="O27" s="43"/>
      <c r="P27" s="43"/>
      <c r="Q27" s="43"/>
      <c r="R27" s="4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7" t="n">
        <v>46177</v>
      </c>
      <c r="B28" s="47" t="n">
        <v>46184</v>
      </c>
      <c r="C28" s="48"/>
      <c r="D28" s="47" t="n">
        <v>46191</v>
      </c>
      <c r="E28" s="47" t="n">
        <v>46198</v>
      </c>
      <c r="F28" s="48"/>
      <c r="G28" s="49"/>
      <c r="H28" s="50"/>
      <c r="I28" s="50"/>
      <c r="J28" s="43"/>
      <c r="K28" s="43"/>
      <c r="L28" s="43"/>
      <c r="M28" s="43"/>
      <c r="N28" s="43"/>
      <c r="O28" s="43"/>
      <c r="P28" s="43"/>
      <c r="Q28" s="43"/>
      <c r="R28" s="4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7" t="n">
        <v>46178</v>
      </c>
      <c r="B29" s="47" t="n">
        <v>46185</v>
      </c>
      <c r="C29" s="48"/>
      <c r="D29" s="47" t="n">
        <v>46192</v>
      </c>
      <c r="E29" s="47" t="n">
        <v>46199</v>
      </c>
      <c r="F29" s="48"/>
      <c r="G29" s="49"/>
      <c r="H29" s="50"/>
      <c r="I29" s="50"/>
      <c r="J29" s="43"/>
      <c r="K29" s="43"/>
      <c r="L29" s="43"/>
      <c r="M29" s="43"/>
      <c r="N29" s="43"/>
      <c r="O29" s="43"/>
      <c r="P29" s="43"/>
      <c r="Q29" s="43"/>
      <c r="R29" s="4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47" t="n">
        <v>46179</v>
      </c>
      <c r="B30" s="47" t="n">
        <v>46186</v>
      </c>
      <c r="C30" s="48"/>
      <c r="D30" s="47" t="n">
        <v>46193</v>
      </c>
      <c r="E30" s="47" t="n">
        <v>46200</v>
      </c>
      <c r="F30" s="48"/>
      <c r="G30" s="52"/>
      <c r="H30" s="50"/>
      <c r="I30" s="53"/>
      <c r="J30" s="43"/>
      <c r="K30" s="43"/>
      <c r="L30" s="43"/>
      <c r="M30" s="43"/>
      <c r="N30" s="43"/>
      <c r="O30" s="43"/>
      <c r="P30" s="43"/>
      <c r="Q30" s="43"/>
      <c r="R30" s="4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54"/>
      <c r="B31" s="55"/>
      <c r="C31" s="56" t="n">
        <f aca="false">SUM(C25:C30)</f>
        <v>0</v>
      </c>
      <c r="D31" s="57"/>
      <c r="E31" s="57"/>
      <c r="F31" s="58" t="n">
        <f aca="false">SUM(F25:F30)</f>
        <v>0</v>
      </c>
      <c r="G31" s="54"/>
      <c r="H31" s="57"/>
      <c r="I31" s="54"/>
      <c r="J31" s="43"/>
      <c r="K31" s="43"/>
      <c r="L31" s="43"/>
      <c r="M31" s="43"/>
      <c r="N31" s="43"/>
      <c r="O31" s="43"/>
      <c r="P31" s="43"/>
      <c r="Q31" s="43"/>
      <c r="R31" s="4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3"/>
      <c r="K32" s="43"/>
      <c r="L32" s="43"/>
      <c r="M32" s="43"/>
      <c r="N32" s="43"/>
      <c r="O32" s="43"/>
      <c r="P32" s="43"/>
      <c r="Q32" s="43"/>
      <c r="R32" s="43"/>
      <c r="S32" s="3"/>
      <c r="T32" s="3"/>
      <c r="U32" s="3"/>
      <c r="V32" s="3"/>
      <c r="W32" s="3"/>
      <c r="X32" s="3"/>
      <c r="Y32" s="3"/>
      <c r="Z32" s="3"/>
    </row>
  </sheetData>
  <mergeCells count="22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A14:I14"/>
    <mergeCell ref="C16:C21"/>
    <mergeCell ref="F16:F21"/>
    <mergeCell ref="H16:H21"/>
    <mergeCell ref="I16:I20"/>
    <mergeCell ref="A23:I23"/>
    <mergeCell ref="C25:C30"/>
    <mergeCell ref="F25:F30"/>
    <mergeCell ref="H25:H30"/>
    <mergeCell ref="I25:I29"/>
    <mergeCell ref="A32:I3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2026-06-05T19:32:22Z</dcterms:modified>
  <cp:revision>1</cp:revision>
  <dc:subject/>
  <dc:title/>
</cp:coreProperties>
</file>