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<sst xmlns="http://schemas.openxmlformats.org/spreadsheetml/2006/main" count="61" uniqueCount="41">
  <si>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</si>
  <si>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</si>
  <si>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</si>
  <si>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</si>
  <si>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</si>
  <si>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</si>
  <si>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</si>
  <si>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</si>
  <si>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</si>
  <si>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CR4 125</t>
  </si>
  <si>
    <t>AKT</t>
  </si>
  <si>
    <t>DRJ20I</t>
  </si>
  <si>
    <t>73B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</si>
  <si>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</si>
  <si>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</si>
  <si>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</si>
  <si>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</si>
  <si>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</si>
  <si>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</si>
  <si>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</si>
  <si>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</si>
  <si>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</si>
  <si>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APELLIDOS</t>
  </si>
  <si>
    <t>CEDULA</t>
  </si>
  <si>
    <t xml:space="preserve">NACIONALIDAD </t>
  </si>
  <si>
    <t>NUMERO</t>
  </si>
  <si>
    <t>Traspaso de propiedad</t>
  </si>
  <si>
    <t xml:space="preserve">DEUDA DE SEMANA </t>
  </si>
  <si>
    <t>MIGUEL ALFONZO</t>
  </si>
  <si>
    <t>LOPEZ OSORIO</t>
  </si>
  <si>
    <t>COLOMBIANA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</si>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</sst>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.00"/>
  </numFmts>
  <fonts count="24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sz val="11.0"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theme="1"/>
      <name val="Arial"/>
    </font>
    <font>
      <b/>
      <sz val="14.0"/>
      <color rgb="FF0077D9"/>
      <name val="Arial"/>
    </font>
    <font>
      <b/>
      <color rgb="FFFFFFFF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b/>
      <sz val="20.0"/>
      <color theme="1"/>
      <name val="Arial"/>
    </font>
    <font>
      <b/>
      <sz val="12.0"/>
      <color rgb="FFFFFFFF"/>
      <name val="Arial"/>
    </font>
    <font>
      <color rgb="FF46BDC6"/>
      <name val="Arial"/>
    </font>
    <font>
      <b/>
      <sz val="23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6" fontId="7" numFmtId="165" xfId="0" applyAlignment="1" applyBorder="1" applyFill="1" applyFont="1" applyNumberFormat="1">
      <alignment horizontal="center" vertical="bottom"/>
    </xf>
    <xf borderId="2" fillId="3" fontId="8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9" numFmtId="0" xfId="0" applyAlignment="1" applyFont="1">
      <alignment horizontal="center" readingOrder="0" vertical="bottom"/>
    </xf>
    <xf borderId="0" fillId="8" fontId="10" numFmtId="0" xfId="0" applyAlignment="1" applyFill="1" applyFont="1">
      <alignment horizontal="center" shrinkToFit="0" vertical="bottom" wrapText="1"/>
    </xf>
    <xf borderId="0" fillId="9" fontId="11" numFmtId="0" xfId="0" applyAlignment="1" applyFill="1" applyFont="1">
      <alignment horizontal="center" readingOrder="0" vertical="bottom"/>
    </xf>
    <xf borderId="0" fillId="9" fontId="5" numFmtId="3" xfId="0" applyAlignment="1" applyFont="1" applyNumberFormat="1">
      <alignment horizontal="center" readingOrder="0" vertical="bottom"/>
    </xf>
    <xf borderId="0" fillId="8" fontId="12" numFmtId="0" xfId="0" applyAlignment="1" applyFont="1">
      <alignment horizontal="center" shrinkToFit="0" vertical="bottom" wrapText="1"/>
    </xf>
    <xf borderId="0" fillId="9" fontId="13" numFmtId="0" xfId="0" applyAlignment="1" applyFont="1">
      <alignment horizontal="center" vertical="bottom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1" fontId="17" numFmtId="3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17" numFmtId="0" xfId="0" applyAlignment="1" applyBorder="1" applyFont="1">
      <alignment horizontal="center" vertical="bottom"/>
    </xf>
    <xf borderId="6" fillId="0" fontId="16" numFmtId="0" xfId="0" applyBorder="1" applyFont="1"/>
    <xf borderId="0" fillId="14" fontId="13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0" fontId="2" numFmtId="166" xfId="0" applyAlignment="1" applyFont="1" applyNumberFormat="1">
      <alignment vertical="bottom"/>
    </xf>
    <xf borderId="0" fillId="16" fontId="13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7" fontId="2" numFmtId="166" xfId="0" applyAlignment="1" applyFill="1" applyFont="1" applyNumberFormat="1">
      <alignment vertical="bottom"/>
    </xf>
    <xf borderId="0" fillId="17" fontId="11" numFmtId="166" xfId="0" applyAlignment="1" applyFont="1" applyNumberFormat="1">
      <alignment horizontal="center" readingOrder="0" vertical="bottom"/>
    </xf>
    <xf borderId="0" fillId="18" fontId="20" numFmtId="164" xfId="0" applyAlignment="1" applyFill="1" applyFont="1" applyNumberFormat="1">
      <alignment horizontal="center" readingOrder="0" textRotation="45" vertical="center"/>
    </xf>
    <xf borderId="0" fillId="11" fontId="18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4" fontId="2" numFmtId="167" xfId="0" applyAlignment="1" applyFont="1" applyNumberFormat="1">
      <alignment vertical="bottom"/>
    </xf>
    <xf borderId="0" fillId="4" fontId="21" numFmtId="164" xfId="0" applyAlignment="1" applyFont="1" applyNumberFormat="1">
      <alignment horizontal="center" vertical="bottom"/>
    </xf>
    <xf borderId="0" fillId="4" fontId="21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9" fontId="2" numFmtId="0" xfId="0" applyAlignment="1" applyFill="1" applyFont="1">
      <alignment vertical="bottom"/>
    </xf>
    <xf borderId="0" fillId="11" fontId="22" numFmtId="0" xfId="0" applyAlignment="1" applyFont="1">
      <alignment readingOrder="0" vertical="bottom"/>
    </xf>
    <xf borderId="0" fillId="18" fontId="2" numFmtId="164" xfId="0" applyAlignment="1" applyFont="1" applyNumberFormat="1">
      <alignment vertical="bottom"/>
    </xf>
    <xf borderId="0" fillId="11" fontId="23" numFmtId="164" xfId="0" applyAlignment="1" applyFont="1" applyNumberFormat="1">
      <alignment horizontal="center" vertical="bottom"/>
    </xf>
    <xf borderId="0" fillId="4" fontId="2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1495425</xdr:colOff>
      <xdr:row>0</xdr:row>
      <xdr:rowOff>0</xdr:rowOff>
    </xdr:from>
    <xdr:ext cx="2124075" cy="2752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9.38"/>
    <col customWidth="1" min="2" max="2" width="19.75"/>
    <col customWidth="1" min="3" max="3" width="20.63"/>
    <col customWidth="1" min="4" max="4" width="17.63"/>
    <col customWidth="1" min="5" max="5" width="18.38"/>
    <col customWidth="1" min="6" max="6" width="20.88"/>
    <col customWidth="1" min="7" max="7" width="18.13"/>
    <col customWidth="1" min="8" max="8" width="19.88"/>
    <col customWidth="1" min="9" max="9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7390000.0</v>
      </c>
      <c r="H2" s="11">
        <v>2000000.0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2"/>
      <c r="C3" s="12"/>
      <c r="D3" s="12"/>
      <c r="E3" s="12"/>
      <c r="F3" s="12"/>
      <c r="G3" s="12"/>
      <c r="H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f>G2-H2</f>
        <v>5390000</v>
      </c>
      <c r="B5" s="16">
        <v>2.6154</v>
      </c>
      <c r="C5" s="17">
        <f>A5*B5</f>
        <v>14097006</v>
      </c>
      <c r="D5" s="18">
        <v>18.0</v>
      </c>
      <c r="E5" s="19">
        <f>C5/D5</f>
        <v>783167</v>
      </c>
      <c r="F5" s="20">
        <f>E5/2</f>
        <v>391583.5</v>
      </c>
      <c r="G5" s="21">
        <f>E5/4</f>
        <v>195791.75</v>
      </c>
      <c r="H5" s="21">
        <f>G5/6</f>
        <v>32631.95833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2" t="s">
        <v>21</v>
      </c>
      <c r="B6" s="23" t="s">
        <v>22</v>
      </c>
      <c r="C6" s="23" t="s">
        <v>23</v>
      </c>
      <c r="D6" s="22" t="s">
        <v>24</v>
      </c>
      <c r="E6" s="22" t="s">
        <v>25</v>
      </c>
      <c r="F6" s="3"/>
      <c r="G6" s="24" t="s">
        <v>26</v>
      </c>
      <c r="H6" s="24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28</v>
      </c>
      <c r="B7" s="25" t="s">
        <v>29</v>
      </c>
      <c r="C7" s="26">
        <v>7.3572293E7</v>
      </c>
      <c r="D7" s="25" t="s">
        <v>30</v>
      </c>
      <c r="E7" s="25">
        <v>3.147122433E9</v>
      </c>
      <c r="F7" s="27" t="s">
        <v>31</v>
      </c>
      <c r="G7" s="28" t="s">
        <v>32</v>
      </c>
      <c r="H7" s="2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0"/>
      <c r="B8" s="30"/>
      <c r="C8" s="30"/>
      <c r="D8" s="30"/>
      <c r="E8" s="31"/>
      <c r="F8" s="32"/>
      <c r="G8" s="3"/>
      <c r="H8" s="33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4" t="s">
        <v>33</v>
      </c>
      <c r="C9" s="35" t="s">
        <v>34</v>
      </c>
      <c r="E9" s="35" t="s">
        <v>35</v>
      </c>
      <c r="G9" s="35" t="s">
        <v>36</v>
      </c>
      <c r="H9" s="3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>
        <f>I16+I26</f>
        <v>748000</v>
      </c>
      <c r="C10" s="38">
        <f>C5-A10</f>
        <v>13349006</v>
      </c>
      <c r="E10" s="39">
        <f>C10+G10</f>
        <v>13349006</v>
      </c>
      <c r="G10" s="40"/>
      <c r="H10" s="41">
        <f>I23+I33</f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3" t="s">
        <v>37</v>
      </c>
      <c r="E12" s="44"/>
      <c r="F12" s="45"/>
      <c r="G12" s="45"/>
      <c r="H12" s="4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4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J14" s="48"/>
      <c r="K14" s="48"/>
      <c r="L14" s="48"/>
      <c r="M14" s="48"/>
      <c r="N14" s="48"/>
      <c r="O14" s="48"/>
      <c r="P14" s="48"/>
      <c r="Q14" s="48"/>
      <c r="R14" s="48"/>
      <c r="S14" s="3"/>
      <c r="T14" s="3"/>
      <c r="U14" s="3"/>
      <c r="V14" s="3"/>
      <c r="W14" s="3"/>
      <c r="X14" s="3"/>
      <c r="Y14" s="3"/>
      <c r="Z14" s="3"/>
    </row>
    <row r="15">
      <c r="A15" s="49" t="s">
        <v>38</v>
      </c>
      <c r="B15" s="49" t="s">
        <v>38</v>
      </c>
      <c r="C15" s="49" t="s">
        <v>38</v>
      </c>
      <c r="D15" s="49" t="s">
        <v>38</v>
      </c>
      <c r="E15" s="49" t="s">
        <v>38</v>
      </c>
      <c r="F15" s="49" t="s">
        <v>39</v>
      </c>
      <c r="G15" s="49"/>
      <c r="H15" s="49" t="s">
        <v>39</v>
      </c>
      <c r="I15" s="5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1"/>
      <c r="B16" s="52">
        <v>46146.0</v>
      </c>
      <c r="C16" s="52">
        <v>46153.0</v>
      </c>
      <c r="D16" s="52">
        <v>46160.0</v>
      </c>
      <c r="E16" s="52">
        <v>46167.0</v>
      </c>
      <c r="F16" s="53">
        <v>748000.0</v>
      </c>
      <c r="I16" s="54">
        <f>F22</f>
        <v>748000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2">
        <v>46140.0</v>
      </c>
      <c r="B17" s="52">
        <v>46147.0</v>
      </c>
      <c r="C17" s="52">
        <v>46154.0</v>
      </c>
      <c r="D17" s="52">
        <v>46161.0</v>
      </c>
      <c r="E17" s="52">
        <v>46168.0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2">
        <v>46141.0</v>
      </c>
      <c r="B18" s="52">
        <v>46148.0</v>
      </c>
      <c r="C18" s="52">
        <v>46155.0</v>
      </c>
      <c r="D18" s="52">
        <v>46162.0</v>
      </c>
      <c r="E18" s="52">
        <v>46169.0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2">
        <v>46142.0</v>
      </c>
      <c r="B19" s="52">
        <v>46149.0</v>
      </c>
      <c r="C19" s="52">
        <v>46156.0</v>
      </c>
      <c r="D19" s="52">
        <v>46163.0</v>
      </c>
      <c r="E19" s="52">
        <v>46170.0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2">
        <v>46143.0</v>
      </c>
      <c r="B20" s="52">
        <v>46150.0</v>
      </c>
      <c r="C20" s="52">
        <v>46157.0</v>
      </c>
      <c r="D20" s="52">
        <v>46164.0</v>
      </c>
      <c r="E20" s="52">
        <v>46171.0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2">
        <v>46144.0</v>
      </c>
      <c r="B21" s="52">
        <v>46151.0</v>
      </c>
      <c r="C21" s="52">
        <v>46158.0</v>
      </c>
      <c r="D21" s="52">
        <v>46165.0</v>
      </c>
      <c r="E21" s="52">
        <v>46172.0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55"/>
      <c r="C22" s="56"/>
      <c r="D22" s="55"/>
      <c r="E22" s="55"/>
      <c r="F22" s="57">
        <f>SUM(F16:F21)</f>
        <v>748000</v>
      </c>
      <c r="I22" s="58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9" t="s">
        <v>40</v>
      </c>
      <c r="B23" s="60"/>
      <c r="C23" s="59" t="s">
        <v>40</v>
      </c>
      <c r="D23" s="60"/>
      <c r="E23" s="59" t="s">
        <v>40</v>
      </c>
      <c r="F23" s="60"/>
      <c r="G23" s="59" t="s">
        <v>40</v>
      </c>
      <c r="H23" s="60"/>
      <c r="I23" s="61">
        <v>1.0</v>
      </c>
      <c r="J23" s="3"/>
      <c r="K23" s="4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9" t="s">
        <v>38</v>
      </c>
      <c r="B25" s="49" t="s">
        <v>38</v>
      </c>
      <c r="C25" s="49" t="s">
        <v>38</v>
      </c>
      <c r="D25" s="49" t="s">
        <v>38</v>
      </c>
      <c r="E25" s="49" t="s">
        <v>38</v>
      </c>
      <c r="F25" s="49" t="s">
        <v>39</v>
      </c>
      <c r="G25" s="49"/>
      <c r="H25" s="49" t="s">
        <v>39</v>
      </c>
      <c r="I25" s="5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2">
        <v>46174.0</v>
      </c>
      <c r="B26" s="52">
        <v>46181.0</v>
      </c>
      <c r="C26" s="52">
        <v>46188.0</v>
      </c>
      <c r="D26" s="52">
        <v>46195.0</v>
      </c>
      <c r="E26" s="52">
        <v>46202.0</v>
      </c>
      <c r="F26" s="62"/>
      <c r="I26" s="63">
        <f>F32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2">
        <v>46175.0</v>
      </c>
      <c r="B27" s="52">
        <v>46182.0</v>
      </c>
      <c r="C27" s="52">
        <v>46189.0</v>
      </c>
      <c r="D27" s="52">
        <v>46196.0</v>
      </c>
      <c r="E27" s="52">
        <v>46203.0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2">
        <v>46176.0</v>
      </c>
      <c r="B28" s="52">
        <v>46183.0</v>
      </c>
      <c r="C28" s="52">
        <v>46190.0</v>
      </c>
      <c r="D28" s="52">
        <v>46197.0</v>
      </c>
      <c r="E28" s="52">
        <v>46204.0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2">
        <v>46177.0</v>
      </c>
      <c r="B29" s="52">
        <v>46184.0</v>
      </c>
      <c r="C29" s="52">
        <v>46191.0</v>
      </c>
      <c r="D29" s="52">
        <v>46198.0</v>
      </c>
      <c r="E29" s="52">
        <v>46205.0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2">
        <v>46178.0</v>
      </c>
      <c r="B30" s="52">
        <v>46185.0</v>
      </c>
      <c r="C30" s="52">
        <v>46192.0</v>
      </c>
      <c r="D30" s="52">
        <v>46199.0</v>
      </c>
      <c r="E30" s="52">
        <v>46206.0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2">
        <v>46179.0</v>
      </c>
      <c r="B31" s="52">
        <v>46186.0</v>
      </c>
      <c r="C31" s="52">
        <v>46193.0</v>
      </c>
      <c r="D31" s="52">
        <v>46200.0</v>
      </c>
      <c r="E31" s="52">
        <v>46207.0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55"/>
      <c r="C32" s="56"/>
      <c r="D32" s="55"/>
      <c r="E32" s="55"/>
      <c r="F32" s="57">
        <f>SUM(F26:F31)</f>
        <v>0</v>
      </c>
      <c r="I32" s="64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9" t="s">
        <v>40</v>
      </c>
      <c r="B33" s="60"/>
      <c r="C33" s="59" t="s">
        <v>40</v>
      </c>
      <c r="D33" s="60"/>
      <c r="E33" s="59" t="s">
        <v>40</v>
      </c>
      <c r="F33" s="60"/>
      <c r="G33" s="59" t="s">
        <v>40</v>
      </c>
      <c r="H33" s="60"/>
      <c r="I33" s="6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mergeCells count="20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4:I14"/>
    <mergeCell ref="F26:H31"/>
    <mergeCell ref="F32:H32"/>
    <mergeCell ref="E10:F11"/>
    <mergeCell ref="G10:G11"/>
    <mergeCell ref="F16:H21"/>
    <mergeCell ref="I16:I21"/>
    <mergeCell ref="F22:H22"/>
    <mergeCell ref="A24:I24"/>
    <mergeCell ref="I26:I31"/>
    <mergeCell ref="A34:I34"/>
  </mergeCells>
  <drawing r:id="rId1"/>
</worksheet>
</file>