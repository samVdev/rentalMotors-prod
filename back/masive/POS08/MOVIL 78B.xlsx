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<sst xmlns="http://schemas.openxmlformats.org/spreadsheetml/2006/main" count="54" uniqueCount="41">
  <si>
    <t xml:space="preserve">PAGOS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</si>
  <si>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</si>
  <si>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</si>
  <si>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</si>
  <si>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</si>
  <si>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</si>
  <si>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</si>
  <si>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</si>
  <si>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A219782G</t>
  </si>
  <si>
    <t xml:space="preserve">BRS 150</t>
  </si>
  <si>
    <t xml:space="preserve">BERA</t>
  </si>
  <si>
    <t xml:space="preserve">DRS33I</t>
  </si>
  <si>
    <t xml:space="preserve">78B</t>
  </si>
  <si>
    <t xml:space="preserve"> 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</si>
  <si>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</si>
  <si>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</si>
  <si>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</si>
  <si>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</si>
  <si>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</si>
  <si>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</si>
  <si>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</si>
  <si>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</si>
  <si>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</si>
  <si>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APELLIDOS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</si>
  <si>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</si>
  <si>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</si>
  <si>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</si>
  <si>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</si>
  <si>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</si>
  <si>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DEUDA DE SEMANA </t>
  </si>
  <si>
    <t xml:space="preserve">GERMAN ANTONIO</t>
  </si>
  <si>
    <t xml:space="preserve">DIAZ JIMENEZ</t>
  </si>
  <si>
    <t xml:space="preserve">COLOMBIANA</t>
  </si>
  <si>
    <t xml:space="preserve">ACTIVO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</si>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</sst>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.00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000000"/>
      <name val="Nunito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sz val="23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9"/>
      <color rgb="FFFFFFFF"/>
      <name val="Arial"/>
      <family val="0"/>
      <charset val="1"/>
    </font>
    <font>
      <sz val="30"/>
      <color rgb="FF000000"/>
      <name val="Arial"/>
      <family val="0"/>
      <charset val="1"/>
    </font>
    <font>
      <sz val="11"/>
      <color rgb="FF34A853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34A853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FFFFF"/>
      </patternFill>
    </fill>
    <fill>
      <patternFill patternType="solid">
        <fgColor rgb="FFB7B7B7"/>
        <bgColor rgb="FFCCCCFF"/>
      </patternFill>
    </fill>
    <fill>
      <patternFill patternType="solid">
        <fgColor rgb="FFFF0000"/>
        <bgColor rgb="FFEA4335"/>
      </patternFill>
    </fill>
    <fill>
      <patternFill patternType="solid">
        <fgColor rgb="FF46BDC6"/>
        <bgColor rgb="FF34A853"/>
      </patternFill>
    </fill>
    <fill>
      <patternFill patternType="solid">
        <fgColor rgb="FFEA4335"/>
        <bgColor rgb="FF993366"/>
      </patternFill>
    </fill>
    <fill>
      <patternFill patternType="solid">
        <fgColor rgb="FF1155CC"/>
        <bgColor rgb="FF0077D9"/>
      </patternFill>
    </fill>
    <fill>
      <patternFill patternType="solid">
        <fgColor rgb="FF4285F4"/>
        <bgColor rgb="FF3D85C6"/>
      </patternFill>
    </fill>
    <fill>
      <patternFill patternType="solid">
        <fgColor rgb="FF134F5C"/>
        <bgColor rgb="FF434343"/>
      </patternFill>
    </fill>
    <fill>
      <patternFill patternType="solid">
        <fgColor rgb="FFFFFFFF"/>
        <bgColor rgb="FFF2F2F2"/>
      </patternFill>
    </fill>
    <fill>
      <patternFill patternType="solid">
        <fgColor rgb="FF434343"/>
        <bgColor rgb="FF333300"/>
      </patternFill>
    </fill>
    <fill>
      <patternFill patternType="solid">
        <fgColor rgb="FF34A853"/>
        <bgColor rgb="FF46BDC6"/>
      </patternFill>
    </fill>
    <fill>
      <patternFill patternType="solid">
        <fgColor rgb="FF666666"/>
        <bgColor rgb="FF8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6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0" fillId="16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72" fontId="12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5" fillId="1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5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3D85C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EA4335"/>
      <rgbColor rgb="FF666666"/>
      <rgbColor rgb="FF969696"/>
      <rgbColor rgb="FF134F5C"/>
      <rgbColor rgb="FF34A853"/>
      <rgbColor rgb="FF003300"/>
      <rgbColor rgb="FF333300"/>
      <rgbColor rgb="FF993300"/>
      <rgbColor rgb="FF993366"/>
      <rgbColor rgb="FF1155CC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67680</xdr:colOff>
      <xdr:row>0</xdr:row>
      <xdr:rowOff>0</xdr:rowOff>
    </xdr:from>
    <xdr:to>
      <xdr:col>9</xdr:col>
      <xdr:colOff>220320</xdr:colOff>
      <xdr:row>13</xdr:row>
      <xdr:rowOff>190080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9603000" y="0"/>
          <a:ext cx="1685520" cy="27903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6" activeCellId="0" sqref="A1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15.63"/>
    <col collapsed="false" customWidth="true" hidden="false" outlineLevel="0" max="3" min="3" style="0" width="18.5"/>
    <col collapsed="false" customWidth="true" hidden="false" outlineLevel="0" max="4" min="4" style="0" width="17.63"/>
    <col collapsed="false" customWidth="true" hidden="false" outlineLevel="0" max="5" min="5" style="0" width="16"/>
    <col collapsed="false" customWidth="true" hidden="false" outlineLevel="0" max="7" min="6" style="0" width="16.25"/>
    <col collapsed="false" customWidth="true" hidden="false" outlineLevel="0" max="8" min="8" style="0" width="18.63"/>
    <col collapsed="false" customWidth="true" hidden="false" outlineLevel="0" max="9" min="9" style="0" width="21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</row>
    <row r="2" customFormat="false" ht="15.75" hidden="false" customHeight="false" outlineLevel="0" collapsed="false">
      <c r="A2" s="4" t="s">
        <v>8</v>
      </c>
      <c r="B2" s="5" t="s">
        <v>9</v>
      </c>
      <c r="C2" s="5" t="n">
        <v>2027</v>
      </c>
      <c r="D2" s="4" t="s">
        <v>10</v>
      </c>
      <c r="E2" s="6" t="s">
        <v>11</v>
      </c>
      <c r="F2" s="7" t="s">
        <v>12</v>
      </c>
      <c r="G2" s="8" t="n">
        <v>6000000</v>
      </c>
      <c r="H2" s="8" t="n">
        <v>1000000</v>
      </c>
      <c r="I2" s="2"/>
      <c r="J2" s="3"/>
      <c r="K2" s="3"/>
      <c r="L2" s="3"/>
      <c r="M2" s="3"/>
      <c r="N2" s="3"/>
      <c r="O2" s="3"/>
      <c r="P2" s="3"/>
      <c r="Q2" s="3"/>
    </row>
    <row r="3" customFormat="false" ht="15.75" hidden="false" customHeight="false" outlineLevel="0" collapsed="false">
      <c r="A3" s="9"/>
      <c r="B3" s="9"/>
      <c r="C3" s="9"/>
      <c r="D3" s="9"/>
      <c r="E3" s="9"/>
      <c r="F3" s="9" t="s">
        <v>13</v>
      </c>
      <c r="G3" s="9"/>
      <c r="H3" s="9"/>
      <c r="I3" s="2"/>
      <c r="J3" s="3"/>
      <c r="K3" s="3"/>
      <c r="L3" s="3"/>
      <c r="M3" s="3"/>
      <c r="N3" s="3"/>
      <c r="O3" s="3"/>
      <c r="P3" s="3"/>
      <c r="Q3" s="3"/>
    </row>
    <row r="4" customFormat="false" ht="15.75" hidden="false" customHeight="false" outlineLevel="0" collapsed="false">
      <c r="A4" s="10" t="s">
        <v>14</v>
      </c>
      <c r="B4" s="11" t="s">
        <v>15</v>
      </c>
      <c r="C4" s="11" t="s">
        <v>16</v>
      </c>
      <c r="D4" s="11" t="s">
        <v>17</v>
      </c>
      <c r="E4" s="11" t="s">
        <v>18</v>
      </c>
      <c r="F4" s="11" t="s">
        <v>19</v>
      </c>
      <c r="G4" s="11" t="s">
        <v>20</v>
      </c>
      <c r="H4" s="11" t="s">
        <v>21</v>
      </c>
      <c r="I4" s="2"/>
      <c r="J4" s="3"/>
      <c r="K4" s="3"/>
      <c r="L4" s="3"/>
      <c r="M4" s="3"/>
      <c r="N4" s="3"/>
      <c r="O4" s="3"/>
      <c r="P4" s="3"/>
      <c r="Q4" s="3"/>
    </row>
    <row r="5" customFormat="false" ht="15.75" hidden="false" customHeight="false" outlineLevel="0" collapsed="false">
      <c r="A5" s="8" t="n">
        <f aca="false">G2-H2</f>
        <v>5000000</v>
      </c>
      <c r="B5" s="8" t="n">
        <v>2.7768</v>
      </c>
      <c r="C5" s="12" t="n">
        <f aca="false">A5*B5</f>
        <v>13884000</v>
      </c>
      <c r="D5" s="5" t="n">
        <v>18</v>
      </c>
      <c r="E5" s="13" t="n">
        <f aca="false">C5/D5</f>
        <v>771333.3333</v>
      </c>
      <c r="F5" s="14" t="n">
        <f aca="false">E5/2</f>
        <v>385666.6667</v>
      </c>
      <c r="G5" s="13" t="n">
        <f aca="false">E5/4</f>
        <v>192833.3333</v>
      </c>
      <c r="H5" s="13" t="n">
        <f aca="false">G5/6</f>
        <v>32138.88889</v>
      </c>
      <c r="I5" s="2"/>
      <c r="J5" s="3"/>
      <c r="K5" s="3"/>
      <c r="L5" s="3"/>
      <c r="M5" s="3"/>
      <c r="N5" s="3"/>
      <c r="O5" s="3"/>
      <c r="P5" s="3"/>
      <c r="Q5" s="3"/>
    </row>
    <row r="6" customFormat="false" ht="15.75" hidden="false" customHeight="false" outlineLevel="0" collapsed="false">
      <c r="A6" s="15" t="s">
        <v>22</v>
      </c>
      <c r="B6" s="15" t="s">
        <v>23</v>
      </c>
      <c r="C6" s="15" t="s">
        <v>24</v>
      </c>
      <c r="D6" s="15" t="s">
        <v>25</v>
      </c>
      <c r="E6" s="15" t="s">
        <v>26</v>
      </c>
      <c r="F6" s="16" t="s">
        <v>27</v>
      </c>
      <c r="G6" s="17" t="s">
        <v>28</v>
      </c>
      <c r="H6" s="17" t="s">
        <v>29</v>
      </c>
      <c r="I6" s="2"/>
      <c r="J6" s="3"/>
      <c r="K6" s="3"/>
      <c r="L6" s="3"/>
      <c r="M6" s="3"/>
      <c r="N6" s="3"/>
      <c r="O6" s="3"/>
      <c r="P6" s="3"/>
      <c r="Q6" s="3"/>
    </row>
    <row r="7" customFormat="false" ht="15.75" hidden="false" customHeight="false" outlineLevel="0" collapsed="false">
      <c r="A7" s="18" t="s">
        <v>30</v>
      </c>
      <c r="B7" s="18" t="s">
        <v>31</v>
      </c>
      <c r="C7" s="19" t="n">
        <v>1050966758</v>
      </c>
      <c r="D7" s="18" t="s">
        <v>32</v>
      </c>
      <c r="E7" s="18" t="n">
        <v>3001368418</v>
      </c>
      <c r="F7" s="20" t="s">
        <v>33</v>
      </c>
      <c r="G7" s="20" t="s">
        <v>33</v>
      </c>
      <c r="H7" s="21"/>
      <c r="I7" s="2"/>
      <c r="J7" s="3"/>
      <c r="K7" s="3"/>
      <c r="L7" s="3"/>
      <c r="M7" s="3"/>
      <c r="N7" s="3"/>
      <c r="O7" s="3"/>
      <c r="P7" s="3"/>
      <c r="Q7" s="3"/>
    </row>
    <row r="8" customFormat="false" ht="15.75" hidden="false" customHeight="false" outlineLevel="0" collapsed="false">
      <c r="A8" s="22"/>
      <c r="B8" s="22"/>
      <c r="C8" s="22"/>
      <c r="D8" s="22"/>
      <c r="E8" s="23"/>
      <c r="F8" s="24"/>
      <c r="G8" s="3"/>
      <c r="H8" s="25" t="s">
        <v>17</v>
      </c>
      <c r="I8" s="2"/>
      <c r="J8" s="3"/>
      <c r="K8" s="3"/>
      <c r="L8" s="3"/>
      <c r="M8" s="3"/>
      <c r="N8" s="3"/>
      <c r="O8" s="3"/>
      <c r="P8" s="3"/>
      <c r="Q8" s="3"/>
    </row>
    <row r="9" customFormat="false" ht="15.75" hidden="false" customHeight="false" outlineLevel="0" collapsed="false">
      <c r="A9" s="26" t="s">
        <v>34</v>
      </c>
      <c r="B9" s="26"/>
      <c r="C9" s="27" t="s">
        <v>35</v>
      </c>
      <c r="D9" s="27"/>
      <c r="E9" s="27" t="s">
        <v>36</v>
      </c>
      <c r="F9" s="27"/>
      <c r="G9" s="28" t="s">
        <v>37</v>
      </c>
      <c r="H9" s="25"/>
      <c r="I9" s="2"/>
      <c r="J9" s="3"/>
      <c r="K9" s="3"/>
      <c r="L9" s="3"/>
      <c r="M9" s="3"/>
      <c r="N9" s="3"/>
      <c r="O9" s="3"/>
      <c r="P9" s="3"/>
      <c r="Q9" s="3"/>
    </row>
    <row r="10" customFormat="false" ht="15.75" hidden="false" customHeight="false" outlineLevel="0" collapsed="false">
      <c r="A10" s="29" t="n">
        <f aca="false">H16+H25</f>
        <v>160000</v>
      </c>
      <c r="B10" s="29"/>
      <c r="C10" s="30" t="n">
        <f aca="false">C5-A10</f>
        <v>13724000</v>
      </c>
      <c r="D10" s="30"/>
      <c r="E10" s="31" t="n">
        <f aca="false">C10+G10</f>
        <v>13724000</v>
      </c>
      <c r="F10" s="31"/>
      <c r="G10" s="32"/>
      <c r="H10" s="33" t="n">
        <f aca="false">I21+I30</f>
        <v>0</v>
      </c>
      <c r="I10" s="2"/>
      <c r="J10" s="3"/>
      <c r="K10" s="3"/>
      <c r="L10" s="3"/>
      <c r="M10" s="3"/>
      <c r="N10" s="3"/>
      <c r="O10" s="3"/>
      <c r="P10" s="3"/>
      <c r="Q10" s="3"/>
    </row>
    <row r="11" customFormat="false" ht="15.75" hidden="false" customHeight="false" outlineLevel="0" collapsed="false">
      <c r="A11" s="29"/>
      <c r="B11" s="29"/>
      <c r="C11" s="30"/>
      <c r="D11" s="30"/>
      <c r="E11" s="31"/>
      <c r="F11" s="31"/>
      <c r="G11" s="32"/>
      <c r="H11" s="33"/>
      <c r="I11" s="2"/>
      <c r="J11" s="3"/>
      <c r="K11" s="3"/>
      <c r="L11" s="3"/>
      <c r="M11" s="3"/>
      <c r="N11" s="3"/>
      <c r="O11" s="3"/>
      <c r="P11" s="3"/>
      <c r="Q11" s="3"/>
    </row>
    <row r="12" customFormat="false" ht="15.75" hidden="false" customHeight="false" outlineLevel="0" collapsed="false">
      <c r="A12" s="34" t="s">
        <v>38</v>
      </c>
      <c r="B12" s="34"/>
      <c r="C12" s="34"/>
      <c r="D12" s="34"/>
      <c r="E12" s="35"/>
      <c r="F12" s="36"/>
      <c r="G12" s="36"/>
      <c r="H12" s="37"/>
      <c r="I12" s="2"/>
      <c r="J12" s="3"/>
      <c r="K12" s="3"/>
      <c r="L12" s="3"/>
      <c r="M12" s="3"/>
      <c r="N12" s="3"/>
      <c r="O12" s="3"/>
      <c r="P12" s="3"/>
      <c r="Q12" s="3"/>
    </row>
    <row r="13" customFormat="false" ht="15.7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3"/>
      <c r="K13" s="3"/>
      <c r="L13" s="3"/>
      <c r="M13" s="3"/>
      <c r="N13" s="3"/>
      <c r="O13" s="3"/>
      <c r="P13" s="3"/>
      <c r="Q13" s="3"/>
    </row>
    <row r="14" customFormat="false" ht="15.75" hidden="false" customHeight="false" outlineLevel="0" collapsed="false">
      <c r="A14" s="38"/>
      <c r="B14" s="38"/>
      <c r="C14" s="38"/>
      <c r="D14" s="38"/>
      <c r="E14" s="38"/>
      <c r="F14" s="38"/>
      <c r="G14" s="38"/>
      <c r="H14" s="38"/>
      <c r="I14" s="38"/>
      <c r="J14" s="3"/>
      <c r="K14" s="3"/>
      <c r="L14" s="3"/>
      <c r="M14" s="3"/>
      <c r="N14" s="3"/>
      <c r="O14" s="3"/>
      <c r="P14" s="3"/>
      <c r="Q14" s="3"/>
    </row>
    <row r="15" customFormat="false" ht="13.8" hidden="false" customHeight="false" outlineLevel="0" collapsed="false">
      <c r="A15" s="39" t="s">
        <v>39</v>
      </c>
      <c r="B15" s="39" t="s">
        <v>40</v>
      </c>
      <c r="C15" s="39" t="s">
        <v>40</v>
      </c>
      <c r="D15" s="39" t="s">
        <v>39</v>
      </c>
      <c r="E15" s="39" t="s">
        <v>39</v>
      </c>
      <c r="F15" s="39" t="s">
        <v>40</v>
      </c>
      <c r="G15" s="39"/>
      <c r="H15" s="39"/>
      <c r="I15" s="40"/>
      <c r="J15" s="3"/>
      <c r="K15" s="3"/>
      <c r="L15" s="3"/>
      <c r="M15" s="3"/>
      <c r="N15" s="3"/>
      <c r="O15" s="3"/>
      <c r="P15" s="3"/>
      <c r="Q15" s="3"/>
    </row>
    <row r="16" customFormat="false" ht="13.8" hidden="false" customHeight="false" outlineLevel="0" collapsed="false">
      <c r="A16" s="41" t="n">
        <v>46168</v>
      </c>
      <c r="B16" s="42" t="n">
        <v>160000</v>
      </c>
      <c r="C16" s="41" t="n">
        <v>46174</v>
      </c>
      <c r="D16" s="41" t="n">
        <v>46181</v>
      </c>
      <c r="E16" s="43"/>
      <c r="F16" s="43"/>
      <c r="G16" s="44"/>
      <c r="H16" s="45" t="n">
        <f aca="false">B22+E22</f>
        <v>160000</v>
      </c>
      <c r="I16" s="46" t="n">
        <v>1</v>
      </c>
      <c r="J16" s="3"/>
      <c r="K16" s="3"/>
      <c r="L16" s="3"/>
      <c r="M16" s="3"/>
      <c r="N16" s="3"/>
      <c r="O16" s="3"/>
      <c r="P16" s="3"/>
      <c r="Q16" s="3"/>
    </row>
    <row r="17" customFormat="false" ht="15.75" hidden="false" customHeight="false" outlineLevel="0" collapsed="false">
      <c r="A17" s="41" t="n">
        <v>46168</v>
      </c>
      <c r="B17" s="42"/>
      <c r="C17" s="41" t="n">
        <v>46175</v>
      </c>
      <c r="D17" s="41" t="n">
        <v>46182</v>
      </c>
      <c r="E17" s="43"/>
      <c r="F17" s="43"/>
      <c r="G17" s="44"/>
      <c r="H17" s="45"/>
      <c r="I17" s="45"/>
      <c r="J17" s="3"/>
      <c r="K17" s="3"/>
      <c r="L17" s="3"/>
      <c r="M17" s="3"/>
      <c r="N17" s="3"/>
      <c r="O17" s="3"/>
      <c r="P17" s="3"/>
      <c r="Q17" s="3"/>
    </row>
    <row r="18" customFormat="false" ht="15.75" hidden="false" customHeight="false" outlineLevel="0" collapsed="false">
      <c r="A18" s="41" t="n">
        <v>46169</v>
      </c>
      <c r="B18" s="42"/>
      <c r="C18" s="41" t="n">
        <v>46176</v>
      </c>
      <c r="D18" s="41" t="n">
        <v>46183</v>
      </c>
      <c r="E18" s="43"/>
      <c r="F18" s="43"/>
      <c r="G18" s="44"/>
      <c r="H18" s="45"/>
      <c r="I18" s="45"/>
      <c r="J18" s="3"/>
      <c r="K18" s="3"/>
      <c r="L18" s="3"/>
      <c r="M18" s="3"/>
      <c r="N18" s="3"/>
      <c r="O18" s="3"/>
      <c r="P18" s="3"/>
      <c r="Q18" s="3"/>
    </row>
    <row r="19" customFormat="false" ht="15.75" hidden="false" customHeight="false" outlineLevel="0" collapsed="false">
      <c r="A19" s="41" t="n">
        <v>46170</v>
      </c>
      <c r="B19" s="42"/>
      <c r="C19" s="41" t="n">
        <v>46177</v>
      </c>
      <c r="D19" s="41" t="n">
        <v>46184</v>
      </c>
      <c r="E19" s="43"/>
      <c r="F19" s="43"/>
      <c r="G19" s="44"/>
      <c r="H19" s="45"/>
      <c r="I19" s="45"/>
      <c r="J19" s="3"/>
      <c r="K19" s="3"/>
      <c r="L19" s="3"/>
      <c r="M19" s="3"/>
      <c r="N19" s="3"/>
      <c r="O19" s="3"/>
      <c r="P19" s="3"/>
      <c r="Q19" s="3"/>
    </row>
    <row r="20" customFormat="false" ht="15.75" hidden="false" customHeight="false" outlineLevel="0" collapsed="false">
      <c r="A20" s="41" t="n">
        <v>46171</v>
      </c>
      <c r="B20" s="42"/>
      <c r="C20" s="41" t="n">
        <v>46178</v>
      </c>
      <c r="D20" s="41" t="n">
        <v>46185</v>
      </c>
      <c r="E20" s="43"/>
      <c r="F20" s="43"/>
      <c r="G20" s="44"/>
      <c r="H20" s="45"/>
      <c r="I20" s="45"/>
      <c r="J20" s="3"/>
      <c r="K20" s="3"/>
      <c r="L20" s="3"/>
      <c r="M20" s="3"/>
      <c r="N20" s="3"/>
      <c r="O20" s="3"/>
      <c r="P20" s="3"/>
      <c r="Q20" s="3"/>
    </row>
    <row r="21" customFormat="false" ht="15.75" hidden="false" customHeight="false" outlineLevel="0" collapsed="false">
      <c r="A21" s="41" t="n">
        <v>46172</v>
      </c>
      <c r="B21" s="42"/>
      <c r="C21" s="41" t="n">
        <v>46179</v>
      </c>
      <c r="D21" s="41" t="n">
        <v>46186</v>
      </c>
      <c r="E21" s="43"/>
      <c r="F21" s="43"/>
      <c r="G21" s="47"/>
      <c r="H21" s="45"/>
      <c r="I21" s="48"/>
      <c r="J21" s="3"/>
      <c r="K21" s="3"/>
      <c r="L21" s="3"/>
      <c r="M21" s="3"/>
      <c r="N21" s="3"/>
      <c r="O21" s="3"/>
      <c r="P21" s="3"/>
      <c r="Q21" s="3"/>
    </row>
    <row r="22" customFormat="false" ht="15.75" hidden="false" customHeight="false" outlineLevel="0" collapsed="false">
      <c r="A22" s="49"/>
      <c r="B22" s="50" t="n">
        <f aca="false">SUM(B16:B21)</f>
        <v>160000</v>
      </c>
      <c r="C22" s="51"/>
      <c r="D22" s="52"/>
      <c r="E22" s="53" t="n">
        <f aca="false">SUM(F16:F21)</f>
        <v>0</v>
      </c>
      <c r="F22" s="53"/>
      <c r="G22" s="49"/>
      <c r="H22" s="52"/>
      <c r="I22" s="49"/>
      <c r="J22" s="3"/>
      <c r="K22" s="3"/>
      <c r="L22" s="3"/>
      <c r="M22" s="3"/>
      <c r="N22" s="3"/>
      <c r="O22" s="3"/>
      <c r="P22" s="3"/>
      <c r="Q22" s="3"/>
    </row>
    <row r="23" customFormat="false" ht="15.7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3"/>
      <c r="K23" s="3"/>
      <c r="L23" s="3"/>
      <c r="M23" s="3"/>
      <c r="N23" s="3"/>
      <c r="O23" s="3"/>
      <c r="P23" s="3"/>
      <c r="Q23" s="3"/>
    </row>
    <row r="24" customFormat="false" ht="15.75" hidden="false" customHeight="false" outlineLevel="0" collapsed="false">
      <c r="A24" s="39" t="s">
        <v>39</v>
      </c>
      <c r="B24" s="39" t="s">
        <v>39</v>
      </c>
      <c r="C24" s="39" t="s">
        <v>40</v>
      </c>
      <c r="D24" s="39" t="s">
        <v>39</v>
      </c>
      <c r="E24" s="39" t="s">
        <v>39</v>
      </c>
      <c r="F24" s="39" t="s">
        <v>40</v>
      </c>
      <c r="G24" s="39"/>
      <c r="H24" s="39" t="s">
        <v>40</v>
      </c>
      <c r="I24" s="40"/>
      <c r="J24" s="3"/>
      <c r="K24" s="3"/>
      <c r="L24" s="3"/>
      <c r="M24" s="3"/>
      <c r="N24" s="3"/>
      <c r="O24" s="3"/>
      <c r="P24" s="3"/>
      <c r="Q24" s="3"/>
    </row>
    <row r="25" customFormat="false" ht="15.75" hidden="false" customHeight="false" outlineLevel="0" collapsed="false">
      <c r="A25" s="41" t="n">
        <v>46188</v>
      </c>
      <c r="B25" s="41" t="n">
        <v>46195</v>
      </c>
      <c r="C25" s="54"/>
      <c r="D25" s="41" t="n">
        <v>46202</v>
      </c>
      <c r="E25" s="41" t="n">
        <v>46209</v>
      </c>
      <c r="F25" s="55"/>
      <c r="G25" s="44"/>
      <c r="H25" s="45" t="n">
        <f aca="false">C31+F31</f>
        <v>0</v>
      </c>
      <c r="I25" s="46" t="n">
        <v>2</v>
      </c>
      <c r="J25" s="3"/>
      <c r="K25" s="3"/>
      <c r="L25" s="3"/>
      <c r="M25" s="3"/>
      <c r="N25" s="3"/>
      <c r="O25" s="3"/>
      <c r="P25" s="3"/>
      <c r="Q25" s="3"/>
    </row>
    <row r="26" customFormat="false" ht="15.75" hidden="false" customHeight="false" outlineLevel="0" collapsed="false">
      <c r="A26" s="41" t="n">
        <v>46189</v>
      </c>
      <c r="B26" s="41" t="n">
        <v>46196</v>
      </c>
      <c r="C26" s="56"/>
      <c r="D26" s="41" t="n">
        <v>46203</v>
      </c>
      <c r="E26" s="41" t="n">
        <v>46210</v>
      </c>
      <c r="F26" s="55"/>
      <c r="G26" s="44"/>
      <c r="H26" s="45"/>
      <c r="I26" s="45"/>
      <c r="J26" s="3"/>
      <c r="K26" s="3"/>
      <c r="L26" s="3"/>
      <c r="M26" s="3"/>
      <c r="N26" s="3"/>
      <c r="O26" s="3"/>
      <c r="P26" s="3"/>
      <c r="Q26" s="3"/>
    </row>
    <row r="27" customFormat="false" ht="15.75" hidden="false" customHeight="false" outlineLevel="0" collapsed="false">
      <c r="A27" s="41" t="n">
        <v>46190</v>
      </c>
      <c r="B27" s="41" t="n">
        <v>46197</v>
      </c>
      <c r="C27" s="56"/>
      <c r="D27" s="41" t="n">
        <v>46204</v>
      </c>
      <c r="E27" s="41" t="n">
        <v>46211</v>
      </c>
      <c r="F27" s="55"/>
      <c r="G27" s="44"/>
      <c r="H27" s="45"/>
      <c r="I27" s="45"/>
      <c r="J27" s="3"/>
      <c r="K27" s="3"/>
      <c r="L27" s="3"/>
      <c r="M27" s="3"/>
      <c r="N27" s="3"/>
      <c r="O27" s="3"/>
      <c r="P27" s="3"/>
      <c r="Q27" s="3"/>
    </row>
    <row r="28" customFormat="false" ht="15.75" hidden="false" customHeight="false" outlineLevel="0" collapsed="false">
      <c r="A28" s="41" t="n">
        <v>46191</v>
      </c>
      <c r="B28" s="41" t="n">
        <v>46198</v>
      </c>
      <c r="C28" s="57"/>
      <c r="D28" s="41" t="n">
        <v>46205</v>
      </c>
      <c r="E28" s="41" t="n">
        <v>46212</v>
      </c>
      <c r="F28" s="55"/>
      <c r="G28" s="44"/>
      <c r="H28" s="45"/>
      <c r="I28" s="45"/>
      <c r="J28" s="3"/>
      <c r="K28" s="3"/>
      <c r="L28" s="3"/>
      <c r="M28" s="3"/>
      <c r="N28" s="3"/>
      <c r="O28" s="3"/>
      <c r="P28" s="3"/>
      <c r="Q28" s="3"/>
    </row>
    <row r="29" customFormat="false" ht="15.75" hidden="false" customHeight="false" outlineLevel="0" collapsed="false">
      <c r="A29" s="41" t="n">
        <v>46192</v>
      </c>
      <c r="B29" s="41" t="n">
        <v>46199</v>
      </c>
      <c r="C29" s="56"/>
      <c r="D29" s="41" t="n">
        <v>46206</v>
      </c>
      <c r="E29" s="41" t="n">
        <v>46213</v>
      </c>
      <c r="F29" s="55"/>
      <c r="G29" s="44"/>
      <c r="H29" s="45"/>
      <c r="I29" s="45"/>
      <c r="J29" s="3"/>
      <c r="K29" s="3"/>
      <c r="L29" s="3"/>
      <c r="M29" s="3"/>
      <c r="N29" s="3"/>
      <c r="O29" s="3"/>
      <c r="P29" s="3"/>
      <c r="Q29" s="3"/>
    </row>
    <row r="30" customFormat="false" ht="15.75" hidden="false" customHeight="false" outlineLevel="0" collapsed="false">
      <c r="A30" s="41" t="n">
        <v>46193</v>
      </c>
      <c r="B30" s="41" t="n">
        <v>46200</v>
      </c>
      <c r="C30" s="3"/>
      <c r="D30" s="41" t="n">
        <v>46207</v>
      </c>
      <c r="E30" s="41" t="n">
        <v>46214</v>
      </c>
      <c r="F30" s="55"/>
      <c r="G30" s="47"/>
      <c r="H30" s="45"/>
      <c r="I30" s="48"/>
      <c r="J30" s="3"/>
      <c r="K30" s="3"/>
      <c r="L30" s="3"/>
      <c r="M30" s="3"/>
      <c r="N30" s="3"/>
      <c r="O30" s="3"/>
      <c r="P30" s="3"/>
      <c r="Q30" s="3"/>
    </row>
    <row r="31" customFormat="false" ht="15.75" hidden="false" customHeight="false" outlineLevel="0" collapsed="false">
      <c r="A31" s="49"/>
      <c r="B31" s="58"/>
      <c r="C31" s="51" t="n">
        <f aca="false">SUM(C25:C30)</f>
        <v>0</v>
      </c>
      <c r="D31" s="52"/>
      <c r="E31" s="52"/>
      <c r="F31" s="59" t="n">
        <f aca="false">SUM(F25:F30)</f>
        <v>0</v>
      </c>
      <c r="G31" s="49"/>
      <c r="H31" s="52"/>
      <c r="I31" s="49"/>
      <c r="J31" s="3"/>
      <c r="K31" s="3"/>
      <c r="L31" s="3"/>
      <c r="M31" s="3"/>
      <c r="N31" s="3"/>
      <c r="O31" s="3"/>
      <c r="P31" s="3"/>
      <c r="Q31" s="3"/>
    </row>
    <row r="32" customFormat="false" ht="15.75" hidden="false" customHeight="false" outlineLevel="0" collapsed="false">
      <c r="A32" s="38"/>
      <c r="B32" s="38"/>
      <c r="C32" s="38"/>
      <c r="D32" s="38"/>
      <c r="E32" s="38"/>
      <c r="F32" s="38"/>
      <c r="G32" s="38"/>
      <c r="H32" s="38"/>
      <c r="I32" s="38"/>
      <c r="J32" s="3"/>
      <c r="K32" s="3"/>
      <c r="L32" s="3"/>
      <c r="M32" s="3"/>
      <c r="N32" s="3"/>
      <c r="O32" s="3"/>
      <c r="P32" s="3"/>
      <c r="Q32" s="3"/>
    </row>
  </sheetData>
  <mergeCells count="20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A14:I14"/>
    <mergeCell ref="B16:B21"/>
    <mergeCell ref="E16:F21"/>
    <mergeCell ref="H16:H21"/>
    <mergeCell ref="I16:I20"/>
    <mergeCell ref="E22:F22"/>
    <mergeCell ref="H25:H30"/>
    <mergeCell ref="I25:I29"/>
    <mergeCell ref="A32:I3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2026-06-05T19:34:38Z</dcterms:modified>
  <cp:revision>2</cp:revision>
  <dc:subject/>
  <dc:title/>
</cp:coreProperties>
</file>