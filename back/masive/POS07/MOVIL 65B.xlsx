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<sst xmlns="http://schemas.openxmlformats.org/spreadsheetml/2006/main" count="75" uniqueCount="40">
  <si>
    <t>PAGOS</t>
  </si>
  <si>
    <t>MOTO</t>
  </si>
  <si>
    <t>MODELO</t>
  </si>
  <si>
    <t>MARCA</t>
  </si>
  <si>
    <t>PLACA</t>
  </si>
  <si>
    <t>MOVIL</t>
  </si>
  <si>
    <t xml:space="preserve">PRECIO </t>
  </si>
  <si>
    <t>INICIAL</t>
  </si>
  <si>
    <t>A219782G</t>
  </si>
  <si>
    <t>BERA</t>
  </si>
  <si>
    <t>BRS</t>
  </si>
  <si>
    <t>FPW65I</t>
  </si>
  <si>
    <t>65B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</si>
  <si>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</si>
  <si>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</si>
  <si>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</si>
  <si>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</si>
  <si>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</si>
  <si>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</si>
  <si>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</si>
  <si>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</si>
  <si>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</si>
  <si>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CEDULA</t>
  </si>
  <si>
    <t xml:space="preserve">NACIONALIDAD </t>
  </si>
  <si>
    <t>NUMERO</t>
  </si>
  <si>
    <t>SOAT</t>
  </si>
  <si>
    <t>Traspaso de propiedad</t>
  </si>
  <si>
    <t xml:space="preserve">DEUDA DE SEMANA </t>
  </si>
  <si>
    <t>HUMBERTA</t>
  </si>
  <si>
    <t>AGUILAR PEREZ</t>
  </si>
  <si>
    <t>COLOMBIANA</t>
  </si>
  <si>
    <t>ACTIVO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</si>
  <si>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</si>
  <si>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</si>
  <si>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</si>
  <si>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</si>
  <si>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</si>
  <si>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</si>
  <si>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</si>
  <si>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REF.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</si>
</sst>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 $]#,##0"/>
    <numFmt numFmtId="165" formatCode="[$$]#,##0.00"/>
    <numFmt numFmtId="166" formatCode="dd/mm/yyyy"/>
    <numFmt numFmtId="167" formatCode="&quot;$&quot;#,##0.00"/>
  </numFmts>
  <fonts count="27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2.0"/>
      <color theme="1"/>
      <name val="Nunito"/>
    </font>
    <font>
      <b/>
      <sz val="11.0"/>
      <color theme="1"/>
      <name val="Nunito"/>
    </font>
    <font>
      <b/>
      <color theme="1"/>
      <name val="Arial"/>
    </font>
    <font>
      <b/>
      <sz val="12.0"/>
      <color rgb="FFFFFFFF"/>
      <name val="Nunito"/>
    </font>
    <font>
      <b/>
      <sz val="13.0"/>
      <color rgb="FF000000"/>
      <name val="Nunito"/>
    </font>
    <font>
      <b/>
      <sz val="13.0"/>
      <color rgb="FF000000"/>
      <name val="Arial"/>
    </font>
    <font>
      <b/>
      <sz val="11.0"/>
      <color rgb="FFFFFFFF"/>
      <name val="Arial"/>
    </font>
    <font>
      <b/>
      <sz val="14.0"/>
      <color rgb="FF0077D9"/>
      <name val="Arial"/>
    </font>
    <font>
      <b/>
      <sz val="11.0"/>
      <color rgb="FF0077D9"/>
      <name val="Arial"/>
    </font>
    <font>
      <b/>
      <sz val="12.0"/>
      <color theme="1"/>
      <name val="Arial"/>
    </font>
    <font>
      <b/>
      <color theme="1"/>
      <name val="Arial"/>
      <scheme val="minor"/>
    </font>
    <font>
      <sz val="25.0"/>
      <color theme="1"/>
      <name val="Arial"/>
    </font>
    <font>
      <b/>
      <color rgb="FFFFFFFF"/>
      <name val="Arial"/>
    </font>
    <font>
      <color rgb="FFFFFFFF"/>
      <name val="Arial"/>
    </font>
    <font/>
    <font>
      <b/>
      <sz val="25.0"/>
      <color rgb="FFFFFFFF"/>
      <name val="Arial"/>
    </font>
    <font>
      <b/>
      <sz val="24.0"/>
      <color rgb="FFFFFFFF"/>
      <name val="Arial"/>
    </font>
    <font>
      <sz val="23.0"/>
      <color theme="1"/>
      <name val="Arial"/>
    </font>
    <font>
      <sz val="11.0"/>
      <color theme="1"/>
      <name val="Arial"/>
    </font>
    <font>
      <b/>
      <sz val="17.0"/>
      <color theme="1"/>
      <name val="Arial"/>
    </font>
    <font>
      <b/>
      <sz val="23.0"/>
      <color rgb="FFFFFFFF"/>
      <name val="Arial"/>
    </font>
    <font>
      <b/>
      <sz val="12.0"/>
      <color rgb="FFFFFFFF"/>
      <name val="Arial"/>
    </font>
    <font>
      <b/>
      <color rgb="FF46BDC6"/>
      <name val="Arial"/>
    </font>
    <font>
      <b/>
      <sz val="15.0"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46BDC6"/>
        <bgColor rgb="FF46BDC6"/>
      </patternFill>
    </fill>
    <fill>
      <patternFill patternType="solid">
        <fgColor rgb="FFEA4335"/>
        <bgColor rgb="FFEA4335"/>
      </patternFill>
    </fill>
    <fill>
      <patternFill patternType="solid">
        <fgColor rgb="FF1155CC"/>
        <bgColor rgb="FF1155CC"/>
      </patternFill>
    </fill>
    <fill>
      <patternFill patternType="solid">
        <fgColor rgb="FF4285F4"/>
        <bgColor rgb="FF4285F4"/>
      </patternFill>
    </fill>
    <fill>
      <patternFill patternType="solid">
        <fgColor rgb="FF134F5C"/>
        <bgColor rgb="FF134F5C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6D01"/>
        <bgColor rgb="FFFF6D01"/>
      </patternFill>
    </fill>
    <fill>
      <patternFill patternType="solid">
        <fgColor rgb="FFFF9900"/>
        <bgColor rgb="FFFF9900"/>
      </patternFill>
    </fill>
    <fill>
      <patternFill patternType="solid">
        <fgColor rgb="FF666666"/>
        <bgColor rgb="FF666666"/>
      </patternFill>
    </fill>
    <fill>
      <patternFill patternType="solid">
        <fgColor theme="8"/>
        <bgColor theme="8"/>
      </patternFill>
    </fill>
  </fills>
  <borders count="1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  <border>
      <left style="medium">
        <color rgb="FF0000FF"/>
      </left>
      <top style="medium">
        <color rgb="FF0000FF"/>
      </top>
    </border>
    <border>
      <right style="medium">
        <color rgb="FF0000FF"/>
      </right>
      <top style="medium">
        <color rgb="FF0000FF"/>
      </top>
    </border>
    <border>
      <left style="medium">
        <color rgb="FF0000FF"/>
      </left>
    </border>
    <border>
      <right style="medium">
        <color rgb="FF0000FF"/>
      </right>
    </border>
    <border>
      <right style="medium">
        <color rgb="FF0000FF"/>
      </right>
      <bottom style="medium">
        <color rgb="FF0000FF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1" xfId="0" applyAlignment="1" applyBorder="1" applyFont="1" applyNumberFormat="1">
      <alignment horizontal="center" vertical="bottom"/>
    </xf>
    <xf borderId="1" fillId="3" fontId="4" numFmtId="1" xfId="0" applyAlignment="1" applyBorder="1" applyFont="1" applyNumberFormat="1">
      <alignment horizontal="center" vertical="bottom"/>
    </xf>
    <xf borderId="1" fillId="3" fontId="4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center" readingOrder="0" vertical="bottom"/>
    </xf>
    <xf borderId="1" fillId="3" fontId="4" numFmtId="49" xfId="0" applyAlignment="1" applyBorder="1" applyFont="1" applyNumberFormat="1">
      <alignment horizontal="center" readingOrder="0" vertical="bottom"/>
    </xf>
    <xf borderId="1" fillId="3" fontId="4" numFmtId="165" xfId="0" applyAlignment="1" applyBorder="1" applyFont="1" applyNumberFormat="1">
      <alignment horizontal="center" vertical="bottom"/>
    </xf>
    <xf borderId="1" fillId="3" fontId="4" numFmtId="165" xfId="0" applyAlignment="1" applyBorder="1" applyFont="1" applyNumberFormat="1">
      <alignment horizontal="center" readingOrder="0" vertical="bottom"/>
    </xf>
    <xf borderId="0" fillId="4" fontId="2" numFmtId="0" xfId="0" applyAlignment="1" applyFill="1" applyFont="1">
      <alignment vertical="bottom"/>
    </xf>
    <xf borderId="0" fillId="5" fontId="6" numFmtId="0" xfId="0" applyAlignment="1" applyFill="1" applyFont="1">
      <alignment horizontal="center" shrinkToFit="0" vertical="bottom" wrapText="1"/>
    </xf>
    <xf borderId="0" fillId="5" fontId="6" numFmtId="0" xfId="0" applyAlignment="1" applyFont="1">
      <alignment horizontal="center" vertical="bottom"/>
    </xf>
    <xf borderId="1" fillId="3" fontId="7" numFmtId="165" xfId="0" applyAlignment="1" applyBorder="1" applyFont="1" applyNumberFormat="1">
      <alignment horizontal="center" vertical="bottom"/>
    </xf>
    <xf borderId="1" fillId="3" fontId="7" numFmtId="165" xfId="0" applyAlignment="1" applyBorder="1" applyFont="1" applyNumberFormat="1">
      <alignment horizontal="center" readingOrder="0" vertical="bottom"/>
    </xf>
    <xf borderId="1" fillId="3" fontId="7" numFmtId="4" xfId="0" applyAlignment="1" applyBorder="1" applyFont="1" applyNumberFormat="1">
      <alignment horizontal="center" vertical="bottom"/>
    </xf>
    <xf borderId="1" fillId="3" fontId="7" numFmtId="1" xfId="0" applyAlignment="1" applyBorder="1" applyFont="1" applyNumberFormat="1">
      <alignment horizontal="center" vertical="bottom"/>
    </xf>
    <xf borderId="2" fillId="3" fontId="7" numFmtId="165" xfId="0" applyAlignment="1" applyBorder="1" applyFont="1" applyNumberFormat="1">
      <alignment horizontal="center" vertical="bottom"/>
    </xf>
    <xf borderId="2" fillId="6" fontId="8" numFmtId="165" xfId="0" applyAlignment="1" applyBorder="1" applyFill="1" applyFont="1" applyNumberFormat="1">
      <alignment horizontal="center" vertical="bottom"/>
    </xf>
    <xf borderId="0" fillId="7" fontId="9" numFmtId="0" xfId="0" applyAlignment="1" applyFill="1" applyFont="1">
      <alignment horizontal="center" vertical="bottom"/>
    </xf>
    <xf borderId="0" fillId="7" fontId="2" numFmtId="0" xfId="0" applyAlignment="1" applyFont="1">
      <alignment vertical="bottom"/>
    </xf>
    <xf borderId="0" fillId="7" fontId="9" numFmtId="0" xfId="0" applyAlignment="1" applyFont="1">
      <alignment horizontal="center" readingOrder="0" vertical="bottom"/>
    </xf>
    <xf borderId="0" fillId="8" fontId="10" numFmtId="0" xfId="0" applyAlignment="1" applyFill="1" applyFont="1">
      <alignment horizontal="center" shrinkToFit="0" vertical="bottom" wrapText="1"/>
    </xf>
    <xf borderId="0" fillId="8" fontId="11" numFmtId="0" xfId="0" applyAlignment="1" applyFont="1">
      <alignment horizontal="center" shrinkToFit="0" vertical="bottom" wrapText="1"/>
    </xf>
    <xf borderId="0" fillId="9" fontId="5" numFmtId="0" xfId="0" applyAlignment="1" applyFill="1" applyFont="1">
      <alignment horizontal="center" readingOrder="0" vertical="bottom"/>
    </xf>
    <xf borderId="0" fillId="9" fontId="12" numFmtId="3" xfId="0" applyAlignment="1" applyFont="1" applyNumberFormat="1">
      <alignment horizontal="center" readingOrder="0" vertical="bottom"/>
    </xf>
    <xf borderId="0" fillId="9" fontId="5" numFmtId="0" xfId="0" applyAlignment="1" applyFont="1">
      <alignment horizontal="center" vertical="bottom"/>
    </xf>
    <xf borderId="0" fillId="9" fontId="13" numFmtId="0" xfId="0" applyAlignment="1" applyFont="1">
      <alignment horizontal="center" readingOrder="0"/>
    </xf>
    <xf borderId="0" fillId="10" fontId="2" numFmtId="164" xfId="0" applyAlignment="1" applyFill="1" applyFont="1" applyNumberFormat="1">
      <alignment vertical="bottom"/>
    </xf>
    <xf borderId="0" fillId="0" fontId="2" numFmtId="0" xfId="0" applyAlignment="1" applyFont="1">
      <alignment textRotation="45" vertical="bottom"/>
    </xf>
    <xf borderId="0" fillId="11" fontId="2" numFmtId="0" xfId="0" applyAlignment="1" applyFill="1" applyFont="1">
      <alignment vertical="bottom"/>
    </xf>
    <xf borderId="3" fillId="11" fontId="2" numFmtId="0" xfId="0" applyAlignment="1" applyBorder="1" applyFont="1">
      <alignment vertical="bottom"/>
    </xf>
    <xf borderId="3" fillId="11" fontId="2" numFmtId="164" xfId="0" applyAlignment="1" applyBorder="1" applyFont="1" applyNumberFormat="1">
      <alignment vertical="bottom"/>
    </xf>
    <xf borderId="4" fillId="11" fontId="14" numFmtId="0" xfId="0" applyAlignment="1" applyBorder="1" applyFont="1">
      <alignment horizontal="center" vertical="bottom"/>
    </xf>
    <xf borderId="0" fillId="5" fontId="15" numFmtId="0" xfId="0" applyAlignment="1" applyFont="1">
      <alignment horizontal="center" vertical="bottom"/>
    </xf>
    <xf borderId="0" fillId="5" fontId="16" numFmtId="0" xfId="0" applyAlignment="1" applyFont="1">
      <alignment horizontal="center" vertical="bottom"/>
    </xf>
    <xf borderId="5" fillId="0" fontId="17" numFmtId="0" xfId="0" applyBorder="1" applyFont="1"/>
    <xf borderId="0" fillId="11" fontId="14" numFmtId="3" xfId="0" applyAlignment="1" applyFont="1" applyNumberFormat="1">
      <alignment horizontal="center" vertical="bottom"/>
    </xf>
    <xf borderId="0" fillId="12" fontId="18" numFmtId="4" xfId="0" applyAlignment="1" applyFill="1" applyFont="1" applyNumberFormat="1">
      <alignment horizontal="center" vertical="bottom"/>
    </xf>
    <xf borderId="0" fillId="10" fontId="19" numFmtId="4" xfId="0" applyAlignment="1" applyFont="1" applyNumberFormat="1">
      <alignment horizontal="center" vertical="bottom"/>
    </xf>
    <xf borderId="0" fillId="13" fontId="2" numFmtId="164" xfId="0" applyAlignment="1" applyFill="1" applyFont="1" applyNumberFormat="1">
      <alignment vertical="bottom"/>
    </xf>
    <xf borderId="5" fillId="11" fontId="20" numFmtId="0" xfId="0" applyAlignment="1" applyBorder="1" applyFont="1">
      <alignment horizontal="center" vertical="bottom"/>
    </xf>
    <xf borderId="6" fillId="0" fontId="17" numFmtId="0" xfId="0" applyBorder="1" applyFont="1"/>
    <xf borderId="0" fillId="14" fontId="15" numFmtId="0" xfId="0" applyAlignment="1" applyFill="1" applyFont="1">
      <alignment vertical="bottom"/>
    </xf>
    <xf borderId="7" fillId="14" fontId="2" numFmtId="0" xfId="0" applyAlignment="1" applyBorder="1" applyFont="1">
      <alignment vertical="bottom"/>
    </xf>
    <xf borderId="8" fillId="14" fontId="2" numFmtId="0" xfId="0" applyAlignment="1" applyBorder="1" applyFont="1">
      <alignment vertical="bottom"/>
    </xf>
    <xf borderId="0" fillId="14" fontId="2" numFmtId="0" xfId="0" applyAlignment="1" applyFont="1">
      <alignment vertical="bottom"/>
    </xf>
    <xf borderId="0" fillId="15" fontId="15" numFmtId="0" xfId="0" applyAlignment="1" applyFill="1" applyFont="1">
      <alignment horizontal="center" vertical="bottom"/>
    </xf>
    <xf borderId="0" fillId="15" fontId="2" numFmtId="0" xfId="0" applyAlignment="1" applyFont="1">
      <alignment vertical="bottom"/>
    </xf>
    <xf borderId="0" fillId="16" fontId="21" numFmtId="166" xfId="0" applyAlignment="1" applyFill="1" applyFont="1" applyNumberFormat="1">
      <alignment horizontal="center" readingOrder="0" vertical="bottom"/>
    </xf>
    <xf borderId="0" fillId="17" fontId="22" numFmtId="164" xfId="0" applyAlignment="1" applyFill="1" applyFont="1" applyNumberFormat="1">
      <alignment horizontal="center" readingOrder="0" textRotation="45" vertical="center"/>
    </xf>
    <xf borderId="9" fillId="17" fontId="22" numFmtId="164" xfId="0" applyAlignment="1" applyBorder="1" applyFont="1" applyNumberFormat="1">
      <alignment horizontal="center" readingOrder="0" textRotation="45" vertical="center"/>
    </xf>
    <xf borderId="10" fillId="0" fontId="17" numFmtId="0" xfId="0" applyBorder="1" applyFont="1"/>
    <xf borderId="0" fillId="11" fontId="23" numFmtId="164" xfId="0" applyAlignment="1" applyFont="1" applyNumberFormat="1">
      <alignment horizontal="center"/>
    </xf>
    <xf borderId="11" fillId="0" fontId="17" numFmtId="0" xfId="0" applyBorder="1" applyFont="1"/>
    <xf borderId="12" fillId="0" fontId="17" numFmtId="0" xfId="0" applyBorder="1" applyFont="1"/>
    <xf borderId="0" fillId="3" fontId="21" numFmtId="166" xfId="0" applyAlignment="1" applyFont="1" applyNumberFormat="1">
      <alignment horizontal="center" readingOrder="0" vertical="bottom"/>
    </xf>
    <xf borderId="0" fillId="18" fontId="21" numFmtId="166" xfId="0" applyAlignment="1" applyFill="1" applyFont="1" applyNumberFormat="1">
      <alignment horizontal="center" readingOrder="0" vertical="bottom"/>
    </xf>
    <xf borderId="0" fillId="19" fontId="21" numFmtId="166" xfId="0" applyAlignment="1" applyFill="1" applyFont="1" applyNumberFormat="1">
      <alignment horizontal="center" readingOrder="0" vertical="bottom"/>
    </xf>
    <xf borderId="0" fillId="4" fontId="2" numFmtId="164" xfId="0" applyAlignment="1" applyFont="1" applyNumberFormat="1">
      <alignment vertical="bottom"/>
    </xf>
    <xf borderId="0" fillId="4" fontId="24" numFmtId="167" xfId="0" applyAlignment="1" applyFont="1" applyNumberFormat="1">
      <alignment horizontal="center" vertical="bottom"/>
    </xf>
    <xf borderId="0" fillId="4" fontId="9" numFmtId="164" xfId="0" applyAlignment="1" applyFont="1" applyNumberFormat="1">
      <alignment horizontal="center" vertical="bottom"/>
    </xf>
    <xf borderId="0" fillId="4" fontId="24" numFmtId="164" xfId="0" applyAlignment="1" applyFont="1" applyNumberFormat="1">
      <alignment horizontal="center" vertical="bottom"/>
    </xf>
    <xf borderId="0" fillId="4" fontId="24" numFmtId="0" xfId="0" applyAlignment="1" applyFont="1">
      <alignment horizontal="center" readingOrder="0" vertical="bottom"/>
    </xf>
    <xf borderId="0" fillId="11" fontId="2" numFmtId="0" xfId="0" applyAlignment="1" applyFont="1">
      <alignment horizontal="center" vertical="bottom"/>
    </xf>
    <xf borderId="0" fillId="19" fontId="2" numFmtId="0" xfId="0" applyAlignment="1" applyFont="1">
      <alignment vertical="bottom"/>
    </xf>
    <xf borderId="0" fillId="20" fontId="24" numFmtId="164" xfId="0" applyAlignment="1" applyFill="1" applyFont="1" applyNumberFormat="1">
      <alignment horizontal="center" vertical="bottom"/>
    </xf>
    <xf borderId="0" fillId="11" fontId="25" numFmtId="0" xfId="0" applyAlignment="1" applyFont="1">
      <alignment horizontal="center" vertical="bottom"/>
    </xf>
    <xf borderId="0" fillId="0" fontId="26" numFmtId="164" xfId="0" applyAlignment="1" applyFont="1" applyNumberFormat="1">
      <alignment horizontal="center" readingOrder="0" shrinkToFit="0" textRotation="45" vertical="center" wrapText="0"/>
    </xf>
    <xf borderId="10" fillId="21" fontId="2" numFmtId="166" xfId="0" applyAlignment="1" applyBorder="1" applyFill="1" applyFont="1" applyNumberFormat="1">
      <alignment vertical="bottom"/>
    </xf>
    <xf borderId="13" fillId="0" fontId="17" numFmtId="0" xfId="0" applyBorder="1" applyFont="1"/>
    <xf borderId="0" fillId="4" fontId="24" numFmtId="0" xfId="0" applyAlignment="1" applyFont="1">
      <alignment horizontal="center" vertical="bottom"/>
    </xf>
    <xf borderId="0" fillId="22" fontId="21" numFmtId="166" xfId="0" applyAlignment="1" applyFill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1457325</xdr:colOff>
      <xdr:row>0</xdr:row>
      <xdr:rowOff>0</xdr:rowOff>
    </xdr:from>
    <xdr:ext cx="1943100" cy="25812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5.0" topLeftCell="A16" activePane="bottomLeft" state="frozen"/>
      <selection activeCell="B17" sqref="B17" pane="bottomLeft"/>
    </sheetView>
  </sheetViews>
  <sheetFormatPr customHeight="1" defaultColWidth="12.63" defaultRowHeight="15.75"/>
  <cols>
    <col customWidth="1" min="1" max="1" width="20.88"/>
    <col customWidth="1" min="2" max="2" width="15.88"/>
    <col customWidth="1" min="3" max="3" width="16.75"/>
    <col customWidth="1" min="4" max="4" width="17.75"/>
    <col customWidth="1" min="5" max="5" width="18.25"/>
    <col customWidth="1" min="6" max="6" width="19.88"/>
    <col customWidth="1" min="7" max="7" width="21.25"/>
    <col customWidth="1" min="8" max="8" width="19.13"/>
    <col customWidth="1" min="9" max="9" width="2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6">
        <v>2027.0</v>
      </c>
      <c r="D2" s="7" t="s">
        <v>10</v>
      </c>
      <c r="E2" s="8" t="s">
        <v>11</v>
      </c>
      <c r="F2" s="9" t="s">
        <v>12</v>
      </c>
      <c r="G2" s="10">
        <v>6000000.0</v>
      </c>
      <c r="H2" s="11">
        <v>800000.0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"/>
      <c r="B3" s="12"/>
      <c r="C3" s="12"/>
      <c r="D3" s="12"/>
      <c r="E3" s="12"/>
      <c r="F3" s="12"/>
      <c r="G3" s="12"/>
      <c r="H3" s="1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" t="s">
        <v>13</v>
      </c>
      <c r="B4" s="14" t="s">
        <v>14</v>
      </c>
      <c r="C4" s="14" t="s">
        <v>15</v>
      </c>
      <c r="D4" s="14" t="s">
        <v>16</v>
      </c>
      <c r="E4" s="14" t="s">
        <v>17</v>
      </c>
      <c r="F4" s="14" t="s">
        <v>18</v>
      </c>
      <c r="G4" s="14" t="s">
        <v>19</v>
      </c>
      <c r="H4" s="14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5">
        <f>G2-H2</f>
        <v>5200000</v>
      </c>
      <c r="B5" s="16">
        <v>2.741</v>
      </c>
      <c r="C5" s="17">
        <f>A5*B5</f>
        <v>14253200</v>
      </c>
      <c r="D5" s="18">
        <v>18.0</v>
      </c>
      <c r="E5" s="19">
        <f>C5/D5</f>
        <v>791844.4444</v>
      </c>
      <c r="F5" s="20">
        <f>E5/2</f>
        <v>395922.2222</v>
      </c>
      <c r="G5" s="19">
        <f>E5/4</f>
        <v>197961.1111</v>
      </c>
      <c r="H5" s="19">
        <f>G5/6</f>
        <v>32993.51852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1" t="s">
        <v>21</v>
      </c>
      <c r="B6" s="22"/>
      <c r="C6" s="23" t="s">
        <v>22</v>
      </c>
      <c r="D6" s="21" t="s">
        <v>23</v>
      </c>
      <c r="E6" s="21" t="s">
        <v>24</v>
      </c>
      <c r="F6" s="24" t="s">
        <v>25</v>
      </c>
      <c r="G6" s="25" t="s">
        <v>26</v>
      </c>
      <c r="H6" s="25" t="s">
        <v>27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6" t="s">
        <v>28</v>
      </c>
      <c r="B7" s="26" t="s">
        <v>29</v>
      </c>
      <c r="C7" s="27">
        <v>3.0840322E7</v>
      </c>
      <c r="D7" s="26" t="s">
        <v>30</v>
      </c>
      <c r="E7" s="28">
        <v>3.14526284E9</v>
      </c>
      <c r="F7" s="29" t="s">
        <v>31</v>
      </c>
      <c r="G7" s="29" t="s">
        <v>31</v>
      </c>
      <c r="H7" s="30"/>
      <c r="J7" s="3"/>
      <c r="K7" s="31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2"/>
      <c r="B8" s="32"/>
      <c r="C8" s="32"/>
      <c r="D8" s="32"/>
      <c r="E8" s="33"/>
      <c r="F8" s="34"/>
      <c r="G8" s="3"/>
      <c r="H8" s="35" t="s">
        <v>16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6" t="s">
        <v>32</v>
      </c>
      <c r="C9" s="37" t="s">
        <v>33</v>
      </c>
      <c r="E9" s="37" t="s">
        <v>34</v>
      </c>
      <c r="G9" s="37" t="s">
        <v>35</v>
      </c>
      <c r="H9" s="38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9">
        <f>I17+I27</f>
        <v>1600000</v>
      </c>
      <c r="C10" s="40">
        <f>C5-A10</f>
        <v>12653200</v>
      </c>
      <c r="E10" s="41">
        <f>C10+G10</f>
        <v>12653200</v>
      </c>
      <c r="G10" s="42"/>
      <c r="H10" s="43">
        <f>I24+I34</f>
        <v>1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H11" s="4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5" t="s">
        <v>36</v>
      </c>
      <c r="E12" s="46"/>
      <c r="F12" s="47"/>
      <c r="G12" s="47"/>
      <c r="H12" s="48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"/>
    </row>
    <row r="16">
      <c r="A16" s="49" t="s">
        <v>37</v>
      </c>
      <c r="B16" s="49" t="s">
        <v>37</v>
      </c>
      <c r="C16" s="49" t="s">
        <v>37</v>
      </c>
      <c r="D16" s="49" t="s">
        <v>38</v>
      </c>
      <c r="E16" s="49" t="s">
        <v>37</v>
      </c>
      <c r="F16" s="49" t="s">
        <v>37</v>
      </c>
      <c r="G16" s="49" t="s">
        <v>38</v>
      </c>
      <c r="H16" s="49" t="s">
        <v>38</v>
      </c>
      <c r="I16" s="50"/>
    </row>
    <row r="17">
      <c r="A17" s="51"/>
      <c r="B17" s="51">
        <v>46118.0</v>
      </c>
      <c r="C17" s="51">
        <v>46125.0</v>
      </c>
      <c r="D17" s="52">
        <v>400000.0</v>
      </c>
      <c r="E17" s="51">
        <v>46132.0</v>
      </c>
      <c r="F17" s="51">
        <v>46139.0</v>
      </c>
      <c r="G17" s="53">
        <v>400000.0</v>
      </c>
      <c r="H17" s="54"/>
      <c r="I17" s="55">
        <f>D23+G23</f>
        <v>800000</v>
      </c>
    </row>
    <row r="18">
      <c r="A18" s="51"/>
      <c r="B18" s="51">
        <v>46119.0</v>
      </c>
      <c r="C18" s="51">
        <v>46126.0</v>
      </c>
      <c r="E18" s="51">
        <v>46133.0</v>
      </c>
      <c r="F18" s="51">
        <v>46140.0</v>
      </c>
      <c r="G18" s="56"/>
      <c r="H18" s="57"/>
    </row>
    <row r="19">
      <c r="A19" s="51"/>
      <c r="B19" s="51">
        <v>46120.0</v>
      </c>
      <c r="C19" s="51">
        <v>46127.0</v>
      </c>
      <c r="E19" s="51">
        <v>46134.0</v>
      </c>
      <c r="F19" s="51">
        <v>46141.0</v>
      </c>
      <c r="G19" s="56"/>
      <c r="H19" s="57"/>
    </row>
    <row r="20">
      <c r="A20" s="58">
        <v>46114.0</v>
      </c>
      <c r="B20" s="51">
        <v>46121.0</v>
      </c>
      <c r="C20" s="59">
        <v>46128.0</v>
      </c>
      <c r="E20" s="51">
        <v>46135.0</v>
      </c>
      <c r="F20" s="51">
        <v>46142.0</v>
      </c>
      <c r="G20" s="56"/>
      <c r="H20" s="57"/>
    </row>
    <row r="21">
      <c r="A21" s="51">
        <v>46115.0</v>
      </c>
      <c r="B21" s="51">
        <v>46122.0</v>
      </c>
      <c r="C21" s="51">
        <v>46129.0</v>
      </c>
      <c r="E21" s="51">
        <v>46136.0</v>
      </c>
      <c r="F21" s="51">
        <v>46143.0</v>
      </c>
      <c r="G21" s="56"/>
      <c r="H21" s="57"/>
    </row>
    <row r="22">
      <c r="A22" s="60">
        <v>46116.0</v>
      </c>
      <c r="B22" s="60">
        <v>46123.0</v>
      </c>
      <c r="C22" s="60">
        <v>46130.0</v>
      </c>
      <c r="E22" s="60">
        <v>46137.0</v>
      </c>
      <c r="F22" s="60">
        <v>46144.0</v>
      </c>
      <c r="G22" s="56"/>
      <c r="H22" s="57"/>
    </row>
    <row r="23">
      <c r="A23" s="12"/>
      <c r="B23" s="61"/>
      <c r="C23" s="62"/>
      <c r="D23" s="63">
        <f>SUM(D17:D22)</f>
        <v>400000</v>
      </c>
      <c r="E23" s="12"/>
      <c r="F23" s="64"/>
      <c r="G23" s="63">
        <f>SUM(G17:H22)</f>
        <v>400000</v>
      </c>
      <c r="I23" s="65">
        <v>1.0</v>
      </c>
    </row>
    <row r="24">
      <c r="A24" s="66" t="s">
        <v>39</v>
      </c>
      <c r="B24" s="67"/>
      <c r="C24" s="66" t="s">
        <v>39</v>
      </c>
      <c r="D24" s="68"/>
      <c r="E24" s="66" t="s">
        <v>39</v>
      </c>
      <c r="F24" s="67"/>
      <c r="G24" s="66" t="s">
        <v>39</v>
      </c>
      <c r="H24" s="67"/>
      <c r="I24" s="69">
        <v>1.0</v>
      </c>
    </row>
    <row r="25" ht="16.5" customHeight="1">
      <c r="A25" s="12"/>
    </row>
    <row r="26">
      <c r="A26" s="49" t="s">
        <v>37</v>
      </c>
      <c r="B26" s="49" t="s">
        <v>37</v>
      </c>
      <c r="C26" s="49" t="s">
        <v>38</v>
      </c>
      <c r="D26" s="49" t="s">
        <v>37</v>
      </c>
      <c r="E26" s="49" t="s">
        <v>37</v>
      </c>
      <c r="F26" s="49" t="s">
        <v>38</v>
      </c>
      <c r="G26" s="49" t="s">
        <v>37</v>
      </c>
      <c r="H26" s="49" t="s">
        <v>38</v>
      </c>
      <c r="I26" s="50"/>
    </row>
    <row r="27">
      <c r="A27" s="51">
        <v>46146.0</v>
      </c>
      <c r="B27" s="51">
        <v>46153.0</v>
      </c>
      <c r="C27" s="70">
        <v>400000.0</v>
      </c>
      <c r="D27" s="51">
        <v>46160.0</v>
      </c>
      <c r="E27" s="51">
        <v>46167.0</v>
      </c>
      <c r="F27" s="70">
        <v>400000.0</v>
      </c>
      <c r="H27" s="71"/>
      <c r="I27" s="55">
        <f>C33+F33</f>
        <v>800000</v>
      </c>
    </row>
    <row r="28">
      <c r="A28" s="51">
        <v>46147.0</v>
      </c>
      <c r="B28" s="51">
        <v>46154.0</v>
      </c>
      <c r="D28" s="51">
        <v>46161.0</v>
      </c>
      <c r="E28" s="51">
        <v>46168.0</v>
      </c>
      <c r="H28" s="57"/>
    </row>
    <row r="29">
      <c r="A29" s="51">
        <v>46148.0</v>
      </c>
      <c r="B29" s="51">
        <v>46155.0</v>
      </c>
      <c r="D29" s="51">
        <v>46162.0</v>
      </c>
      <c r="E29" s="51">
        <v>46169.0</v>
      </c>
      <c r="H29" s="57"/>
    </row>
    <row r="30">
      <c r="A30" s="51">
        <v>46149.0</v>
      </c>
      <c r="B30" s="51">
        <v>46156.0</v>
      </c>
      <c r="D30" s="51">
        <v>46163.0</v>
      </c>
      <c r="E30" s="51">
        <v>46170.0</v>
      </c>
      <c r="H30" s="57"/>
    </row>
    <row r="31">
      <c r="A31" s="51">
        <v>46150.0</v>
      </c>
      <c r="B31" s="51">
        <v>46157.0</v>
      </c>
      <c r="D31" s="51">
        <v>46164.0</v>
      </c>
      <c r="E31" s="51">
        <v>46171.0</v>
      </c>
      <c r="H31" s="57"/>
    </row>
    <row r="32">
      <c r="A32" s="60">
        <v>46151.0</v>
      </c>
      <c r="B32" s="60">
        <v>46158.0</v>
      </c>
      <c r="D32" s="60">
        <v>46165.0</v>
      </c>
      <c r="E32" s="60">
        <v>46172.0</v>
      </c>
      <c r="H32" s="72"/>
    </row>
    <row r="33">
      <c r="A33" s="12"/>
      <c r="B33" s="61"/>
      <c r="C33" s="62">
        <f>SUM(C27:C32)</f>
        <v>400000</v>
      </c>
      <c r="D33" s="61"/>
      <c r="E33" s="12"/>
      <c r="F33" s="64">
        <f>SUM(F27:F32)</f>
        <v>400000</v>
      </c>
      <c r="H33" s="61"/>
      <c r="I33" s="73">
        <v>2.0</v>
      </c>
    </row>
    <row r="34">
      <c r="A34" s="66" t="s">
        <v>39</v>
      </c>
      <c r="B34" s="67"/>
      <c r="C34" s="66" t="s">
        <v>39</v>
      </c>
      <c r="D34" s="67"/>
      <c r="E34" s="66" t="s">
        <v>39</v>
      </c>
      <c r="F34" s="67"/>
      <c r="G34" s="66" t="s">
        <v>39</v>
      </c>
      <c r="H34" s="67"/>
      <c r="I34" s="69"/>
    </row>
    <row r="35">
      <c r="A35" s="12"/>
    </row>
    <row r="36">
      <c r="A36" s="49" t="s">
        <v>37</v>
      </c>
      <c r="B36" s="49" t="s">
        <v>37</v>
      </c>
      <c r="C36" s="49" t="s">
        <v>38</v>
      </c>
      <c r="D36" s="49" t="s">
        <v>37</v>
      </c>
      <c r="E36" s="49" t="s">
        <v>37</v>
      </c>
      <c r="F36" s="49" t="s">
        <v>38</v>
      </c>
      <c r="G36" s="49" t="s">
        <v>37</v>
      </c>
      <c r="H36" s="49" t="s">
        <v>38</v>
      </c>
      <c r="I36" s="50"/>
    </row>
    <row r="37">
      <c r="A37" s="51">
        <v>46174.0</v>
      </c>
      <c r="B37" s="51">
        <v>46181.0</v>
      </c>
      <c r="C37" s="70"/>
      <c r="D37" s="51">
        <v>46188.0</v>
      </c>
      <c r="E37" s="51">
        <v>46195.0</v>
      </c>
      <c r="F37" s="70"/>
      <c r="H37" s="71"/>
      <c r="I37" s="55">
        <f>C43+F43</f>
        <v>0</v>
      </c>
    </row>
    <row r="38">
      <c r="A38" s="51">
        <v>46175.0</v>
      </c>
      <c r="B38" s="51">
        <v>46182.0</v>
      </c>
      <c r="D38" s="51">
        <v>46189.0</v>
      </c>
      <c r="E38" s="51">
        <v>46196.0</v>
      </c>
      <c r="H38" s="57"/>
    </row>
    <row r="39">
      <c r="A39" s="51">
        <v>46176.0</v>
      </c>
      <c r="B39" s="51">
        <v>46183.0</v>
      </c>
      <c r="D39" s="51">
        <v>46190.0</v>
      </c>
      <c r="E39" s="51">
        <v>46197.0</v>
      </c>
      <c r="H39" s="57"/>
    </row>
    <row r="40">
      <c r="A40" s="51">
        <v>46177.0</v>
      </c>
      <c r="B40" s="51">
        <v>46184.0</v>
      </c>
      <c r="D40" s="51">
        <v>46191.0</v>
      </c>
      <c r="E40" s="51">
        <v>46198.0</v>
      </c>
      <c r="H40" s="57"/>
    </row>
    <row r="41">
      <c r="A41" s="51">
        <v>46178.0</v>
      </c>
      <c r="B41" s="51">
        <v>46185.0</v>
      </c>
      <c r="D41" s="51">
        <v>46192.0</v>
      </c>
      <c r="E41" s="51">
        <v>46199.0</v>
      </c>
      <c r="H41" s="57"/>
    </row>
    <row r="42">
      <c r="A42" s="74">
        <v>46179.0</v>
      </c>
      <c r="B42" s="74">
        <v>46186.0</v>
      </c>
      <c r="D42" s="74">
        <v>46193.0</v>
      </c>
      <c r="E42" s="74">
        <v>46200.0</v>
      </c>
      <c r="H42" s="72"/>
    </row>
    <row r="43">
      <c r="A43" s="12"/>
      <c r="B43" s="61"/>
      <c r="C43" s="62">
        <f>SUM(C37:C42)</f>
        <v>0</v>
      </c>
      <c r="D43" s="61"/>
      <c r="E43" s="12"/>
      <c r="F43" s="64">
        <f>SUM(F37:F42)</f>
        <v>0</v>
      </c>
      <c r="H43" s="61"/>
      <c r="I43" s="73">
        <v>2.0</v>
      </c>
    </row>
    <row r="44">
      <c r="A44" s="66" t="s">
        <v>39</v>
      </c>
      <c r="B44" s="67"/>
      <c r="C44" s="66" t="s">
        <v>39</v>
      </c>
      <c r="D44" s="67"/>
      <c r="E44" s="66" t="s">
        <v>39</v>
      </c>
      <c r="F44" s="67"/>
      <c r="G44" s="66" t="s">
        <v>39</v>
      </c>
      <c r="H44" s="67"/>
      <c r="I44" s="69"/>
    </row>
    <row r="45">
      <c r="A45" s="12"/>
    </row>
  </sheetData>
  <mergeCells count="29">
    <mergeCell ref="C10:D11"/>
    <mergeCell ref="A12:D12"/>
    <mergeCell ref="D17:D22"/>
    <mergeCell ref="C27:C32"/>
    <mergeCell ref="C37:C42"/>
    <mergeCell ref="I1:I12"/>
    <mergeCell ref="H8:H9"/>
    <mergeCell ref="A9:B9"/>
    <mergeCell ref="C9:D9"/>
    <mergeCell ref="E9:F9"/>
    <mergeCell ref="A10:B11"/>
    <mergeCell ref="H10:H11"/>
    <mergeCell ref="A15:I15"/>
    <mergeCell ref="H27:H32"/>
    <mergeCell ref="I27:I32"/>
    <mergeCell ref="F37:G42"/>
    <mergeCell ref="H37:H42"/>
    <mergeCell ref="I37:I42"/>
    <mergeCell ref="F43:G43"/>
    <mergeCell ref="F33:G33"/>
    <mergeCell ref="A35:I35"/>
    <mergeCell ref="A45:I45"/>
    <mergeCell ref="E10:F11"/>
    <mergeCell ref="G10:G11"/>
    <mergeCell ref="G17:H22"/>
    <mergeCell ref="I17:I22"/>
    <mergeCell ref="G23:H23"/>
    <mergeCell ref="A25:I25"/>
    <mergeCell ref="F27:G32"/>
  </mergeCells>
  <drawing r:id="rId1"/>
</worksheet>
</file>