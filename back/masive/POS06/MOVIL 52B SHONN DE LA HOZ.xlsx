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<sst xmlns="http://schemas.openxmlformats.org/spreadsheetml/2006/main" count="116" uniqueCount="58">
  <si>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</si>
  <si>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</si>
  <si>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</si>
  <si>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</si>
  <si>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</si>
  <si>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</si>
  <si>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</si>
  <si>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</si>
  <si>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A21977</t>
  </si>
  <si>
    <t xml:space="preserve">BOXER</t>
  </si>
  <si>
    <t xml:space="preserve">BAJAJ</t>
  </si>
  <si>
    <t xml:space="preserve">YAB07H</t>
  </si>
  <si>
    <t xml:space="preserve">52B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</si>
  <si>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</si>
  <si>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</si>
  <si>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</si>
  <si>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</si>
  <si>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</si>
  <si>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</si>
  <si>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</si>
  <si>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</si>
  <si>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</si>
  <si>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</si>
  <si>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</si>
  <si>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</si>
  <si>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</si>
  <si>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</si>
  <si>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</si>
  <si>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</si>
  <si>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SHONN</t>
  </si>
  <si>
    <t xml:space="preserve">DE LA HOZ</t>
  </si>
  <si>
    <t xml:space="preserve">COLOMBIANA</t>
  </si>
  <si>
    <t xml:space="preserve">SI</t>
  </si>
  <si>
    <t xml:space="preserve">ACTIVO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</si>
  <si>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</si>
  <si>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</si>
  <si>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</si>
  <si>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</si>
  <si>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</si>
  <si>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</si>
  <si>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</si>
  <si>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REF.</t>
  </si>
  <si>
    <t xml:space="preserve">M13513072</t>
  </si>
  <si>
    <t xml:space="preserve">M11171223</t>
  </si>
  <si>
    <t xml:space="preserve">M13095769</t>
  </si>
  <si>
    <t xml:space="preserve">M18642108</t>
  </si>
  <si>
    <t xml:space="preserve">M13485365</t>
  </si>
  <si>
    <t xml:space="preserve">M05372896</t>
  </si>
  <si>
    <t xml:space="preserve">M12110287</t>
  </si>
  <si>
    <t xml:space="preserve">M12398079</t>
  </si>
  <si>
    <t xml:space="preserve">M10930084</t>
  </si>
  <si>
    <t xml:space="preserve">M05593838</t>
  </si>
  <si>
    <t xml:space="preserve">M05781159</t>
  </si>
  <si>
    <t xml:space="preserve">M09423640</t>
  </si>
  <si>
    <t xml:space="preserve">M11144098</t>
  </si>
  <si>
    <t xml:space="preserve">M15060461</t>
  </si>
  <si>
    <t xml:space="preserve">M16037160</t>
  </si>
  <si>
    <t xml:space="preserve">M05490569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</si>
</sst>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"/>
  </numFmts>
  <fonts count="2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3"/>
      <color rgb="FF000000"/>
      <name val="Nunito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23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46BDC6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AF9F9"/>
      </patternFill>
    </fill>
    <fill>
      <patternFill patternType="solid">
        <fgColor rgb="FFFF6D01"/>
        <bgColor rgb="FFFF9900"/>
      </patternFill>
    </fill>
    <fill>
      <patternFill patternType="solid">
        <fgColor rgb="FFFF9900"/>
        <bgColor rgb="FFFF6D01"/>
      </patternFill>
    </fill>
    <fill>
      <patternFill patternType="solid">
        <fgColor rgb="FF46BDC6"/>
        <bgColor rgb="FF3D85C6"/>
      </patternFill>
    </fill>
    <fill>
      <patternFill patternType="solid">
        <fgColor rgb="FF1155CC"/>
        <bgColor rgb="FF0077D9"/>
      </patternFill>
    </fill>
    <fill>
      <patternFill patternType="solid">
        <fgColor rgb="FFEA4335"/>
        <bgColor rgb="FFFF6D01"/>
      </patternFill>
    </fill>
    <fill>
      <patternFill patternType="solid">
        <fgColor rgb="FFFF0000"/>
        <bgColor rgb="FFEA4335"/>
      </patternFill>
    </fill>
    <fill>
      <patternFill patternType="solid">
        <fgColor rgb="FF4285F4"/>
        <bgColor rgb="FF3D85C6"/>
      </patternFill>
    </fill>
    <fill>
      <patternFill patternType="solid">
        <fgColor rgb="FF93C47D"/>
        <bgColor rgb="FF999999"/>
      </patternFill>
    </fill>
    <fill>
      <patternFill patternType="solid">
        <fgColor rgb="FFFAF9F9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6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8" fillId="1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9" fillId="0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65" fontId="20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93C47D"/>
      <rgbColor rgb="FF808080"/>
      <rgbColor rgb="FF9999FF"/>
      <rgbColor rgb="FFEA4335"/>
      <rgbColor rgb="FFFAF9F9"/>
      <rgbColor rgb="FFF2F2F2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D01"/>
      <rgbColor rgb="FF666699"/>
      <rgbColor rgb="FF999999"/>
      <rgbColor rgb="FF003366"/>
      <rgbColor rgb="FF3D85C6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118800</xdr:colOff>
      <xdr:row>0</xdr:row>
      <xdr:rowOff>0</xdr:rowOff>
    </xdr:from>
    <xdr:to>
      <xdr:col>9</xdr:col>
      <xdr:colOff>214560</xdr:colOff>
      <xdr:row>13</xdr:row>
      <xdr:rowOff>190080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0611720" y="0"/>
          <a:ext cx="1638000" cy="27903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B16" activeCellId="0" sqref="B1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7.5"/>
    <col collapsed="false" customWidth="true" hidden="false" outlineLevel="0" max="2" min="2" style="0" width="16.89"/>
    <col collapsed="false" customWidth="true" hidden="false" outlineLevel="0" max="3" min="3" style="0" width="24.33"/>
    <col collapsed="false" customWidth="true" hidden="false" outlineLevel="0" max="4" min="4" style="0" width="17.13"/>
    <col collapsed="false" customWidth="true" hidden="false" outlineLevel="0" max="5" min="5" style="0" width="16.38"/>
    <col collapsed="false" customWidth="true" hidden="false" outlineLevel="0" max="6" min="6" style="0" width="15.25"/>
    <col collapsed="false" customWidth="true" hidden="false" outlineLevel="0" max="7" min="7" style="0" width="20.51"/>
    <col collapsed="false" customWidth="true" hidden="false" outlineLevel="0" max="8" min="8" style="0" width="20.88"/>
    <col collapsed="false" customWidth="true" hidden="false" outlineLevel="0" max="9" min="9" style="0" width="21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5" t="s">
        <v>9</v>
      </c>
      <c r="C2" s="5" t="n">
        <v>2027</v>
      </c>
      <c r="D2" s="4" t="s">
        <v>10</v>
      </c>
      <c r="E2" s="6" t="s">
        <v>11</v>
      </c>
      <c r="F2" s="7" t="s">
        <v>12</v>
      </c>
      <c r="G2" s="8" t="n">
        <v>6800000</v>
      </c>
      <c r="H2" s="8" t="n">
        <v>800000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2" t="n">
        <f aca="false">G2-H2</f>
        <v>6000000</v>
      </c>
      <c r="B5" s="12" t="n">
        <v>2.6734</v>
      </c>
      <c r="C5" s="13" t="n">
        <f aca="false">A5*B5</f>
        <v>16040400</v>
      </c>
      <c r="D5" s="14" t="n">
        <v>18</v>
      </c>
      <c r="E5" s="15" t="n">
        <f aca="false">C5/D5</f>
        <v>891133.3333</v>
      </c>
      <c r="F5" s="16" t="n">
        <f aca="false">E5/2</f>
        <v>445566.6667</v>
      </c>
      <c r="G5" s="17" t="n">
        <f aca="false">E5/4</f>
        <v>222783.3333</v>
      </c>
      <c r="H5" s="15" t="n">
        <f aca="false">G5/6</f>
        <v>37130.55556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8" t="s">
        <v>21</v>
      </c>
      <c r="B6" s="18" t="s">
        <v>22</v>
      </c>
      <c r="C6" s="18" t="s">
        <v>23</v>
      </c>
      <c r="D6" s="18" t="s">
        <v>24</v>
      </c>
      <c r="E6" s="18" t="s">
        <v>25</v>
      </c>
      <c r="F6" s="19" t="s">
        <v>26</v>
      </c>
      <c r="G6" s="20" t="s">
        <v>27</v>
      </c>
      <c r="H6" s="20" t="s">
        <v>28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21" t="s">
        <v>29</v>
      </c>
      <c r="B7" s="21" t="s">
        <v>30</v>
      </c>
      <c r="C7" s="21" t="n">
        <v>1143410503</v>
      </c>
      <c r="D7" s="21" t="s">
        <v>31</v>
      </c>
      <c r="E7" s="21" t="n">
        <v>3238586919</v>
      </c>
      <c r="F7" s="22" t="s">
        <v>32</v>
      </c>
      <c r="G7" s="22" t="s">
        <v>33</v>
      </c>
      <c r="H7" s="23" t="n">
        <v>0</v>
      </c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4"/>
      <c r="B8" s="24"/>
      <c r="C8" s="24"/>
      <c r="D8" s="24"/>
      <c r="E8" s="25"/>
      <c r="F8" s="26"/>
      <c r="G8" s="27" t="n">
        <v>1640000</v>
      </c>
      <c r="H8" s="28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29" t="s">
        <v>34</v>
      </c>
      <c r="B9" s="29"/>
      <c r="C9" s="30" t="s">
        <v>35</v>
      </c>
      <c r="D9" s="30"/>
      <c r="E9" s="31" t="s">
        <v>36</v>
      </c>
      <c r="F9" s="31"/>
      <c r="G9" s="32" t="s">
        <v>37</v>
      </c>
      <c r="H9" s="33" t="s">
        <v>16</v>
      </c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4" t="n">
        <f aca="false">I16+I27+I38+I49+I60</f>
        <v>3977000</v>
      </c>
      <c r="B10" s="34"/>
      <c r="C10" s="35" t="n">
        <f aca="false">C5-A10</f>
        <v>12063400</v>
      </c>
      <c r="D10" s="35"/>
      <c r="E10" s="36" t="n">
        <f aca="false">C10+G10</f>
        <v>12063400</v>
      </c>
      <c r="F10" s="36"/>
      <c r="G10" s="37"/>
      <c r="H10" s="33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4"/>
      <c r="B11" s="34"/>
      <c r="C11" s="35"/>
      <c r="D11" s="35"/>
      <c r="E11" s="36"/>
      <c r="F11" s="36"/>
      <c r="G11" s="37"/>
      <c r="H11" s="38" t="n">
        <f aca="false">I23+I34+I45+I56</f>
        <v>4</v>
      </c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9" t="s">
        <v>38</v>
      </c>
      <c r="B12" s="39"/>
      <c r="C12" s="39"/>
      <c r="D12" s="39"/>
      <c r="E12" s="40"/>
      <c r="F12" s="41"/>
      <c r="G12" s="41"/>
      <c r="H12" s="38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42" t="s">
        <v>39</v>
      </c>
      <c r="B15" s="42" t="s">
        <v>40</v>
      </c>
      <c r="C15" s="42" t="s">
        <v>39</v>
      </c>
      <c r="D15" s="42" t="s">
        <v>40</v>
      </c>
      <c r="E15" s="42" t="s">
        <v>39</v>
      </c>
      <c r="F15" s="42" t="s">
        <v>40</v>
      </c>
      <c r="G15" s="42" t="s">
        <v>39</v>
      </c>
      <c r="H15" s="42" t="s">
        <v>40</v>
      </c>
      <c r="I15" s="2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43" t="n">
        <v>46048</v>
      </c>
      <c r="B16" s="44" t="n">
        <v>223000</v>
      </c>
      <c r="C16" s="43" t="n">
        <v>46055</v>
      </c>
      <c r="D16" s="44" t="n">
        <v>223000</v>
      </c>
      <c r="E16" s="43" t="n">
        <v>46062</v>
      </c>
      <c r="F16" s="44" t="n">
        <v>223000</v>
      </c>
      <c r="G16" s="43" t="n">
        <v>46069</v>
      </c>
      <c r="H16" s="44" t="n">
        <v>223000</v>
      </c>
      <c r="I16" s="45" t="n">
        <f aca="false">B22+D22+F22+H22</f>
        <v>892000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43" t="n">
        <v>46049</v>
      </c>
      <c r="B17" s="44"/>
      <c r="C17" s="43" t="n">
        <v>46056</v>
      </c>
      <c r="D17" s="44"/>
      <c r="E17" s="43" t="n">
        <v>46063</v>
      </c>
      <c r="F17" s="44"/>
      <c r="G17" s="43" t="n">
        <v>46070</v>
      </c>
      <c r="H17" s="44"/>
      <c r="I17" s="4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43" t="n">
        <v>46050</v>
      </c>
      <c r="B18" s="44"/>
      <c r="C18" s="43" t="n">
        <v>46057</v>
      </c>
      <c r="D18" s="44"/>
      <c r="E18" s="43" t="n">
        <v>46064</v>
      </c>
      <c r="F18" s="44"/>
      <c r="G18" s="43" t="n">
        <v>46071</v>
      </c>
      <c r="H18" s="44"/>
      <c r="I18" s="4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43" t="n">
        <v>46051</v>
      </c>
      <c r="B19" s="44"/>
      <c r="C19" s="43" t="n">
        <v>46058</v>
      </c>
      <c r="D19" s="44"/>
      <c r="E19" s="43" t="n">
        <v>46065</v>
      </c>
      <c r="F19" s="44"/>
      <c r="G19" s="43" t="n">
        <v>46072</v>
      </c>
      <c r="H19" s="44"/>
      <c r="I19" s="4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43" t="n">
        <v>46052</v>
      </c>
      <c r="B20" s="44"/>
      <c r="C20" s="43" t="n">
        <v>46059</v>
      </c>
      <c r="D20" s="44"/>
      <c r="E20" s="43" t="n">
        <v>46066</v>
      </c>
      <c r="F20" s="44"/>
      <c r="G20" s="43" t="n">
        <v>46073</v>
      </c>
      <c r="H20" s="44"/>
      <c r="I20" s="4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43" t="n">
        <v>46053</v>
      </c>
      <c r="B21" s="44"/>
      <c r="C21" s="43" t="n">
        <v>46060</v>
      </c>
      <c r="D21" s="44"/>
      <c r="E21" s="43" t="n">
        <v>46067</v>
      </c>
      <c r="F21" s="44"/>
      <c r="G21" s="43" t="n">
        <v>46074</v>
      </c>
      <c r="H21" s="44"/>
      <c r="I21" s="4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24"/>
      <c r="B22" s="46" t="n">
        <f aca="false">SUM(B16:B21)</f>
        <v>223000</v>
      </c>
      <c r="C22" s="24"/>
      <c r="D22" s="46" t="n">
        <f aca="false">SUM(D16:D21)</f>
        <v>223000</v>
      </c>
      <c r="E22" s="24"/>
      <c r="F22" s="46" t="n">
        <f aca="false">SUM(F16:F21)</f>
        <v>223000</v>
      </c>
      <c r="G22" s="24"/>
      <c r="H22" s="46" t="n">
        <f aca="false">SUM(H16:H21)</f>
        <v>223000</v>
      </c>
      <c r="I22" s="47" t="n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42" t="s">
        <v>41</v>
      </c>
      <c r="B23" s="48"/>
      <c r="C23" s="42" t="s">
        <v>41</v>
      </c>
      <c r="D23" s="49" t="s">
        <v>42</v>
      </c>
      <c r="E23" s="42" t="s">
        <v>41</v>
      </c>
      <c r="F23" s="49" t="s">
        <v>43</v>
      </c>
      <c r="G23" s="42" t="s">
        <v>41</v>
      </c>
      <c r="H23" s="49" t="s">
        <v>44</v>
      </c>
      <c r="I23" s="50" t="n">
        <v>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51"/>
      <c r="B24" s="51"/>
      <c r="C24" s="51"/>
      <c r="D24" s="51"/>
      <c r="E24" s="51"/>
      <c r="F24" s="51"/>
      <c r="G24" s="51"/>
      <c r="H24" s="51"/>
      <c r="I24" s="5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2" t="s">
        <v>39</v>
      </c>
      <c r="B26" s="42" t="s">
        <v>40</v>
      </c>
      <c r="C26" s="42" t="s">
        <v>39</v>
      </c>
      <c r="D26" s="42" t="s">
        <v>40</v>
      </c>
      <c r="E26" s="42" t="s">
        <v>39</v>
      </c>
      <c r="F26" s="42" t="s">
        <v>40</v>
      </c>
      <c r="G26" s="42" t="s">
        <v>39</v>
      </c>
      <c r="H26" s="42" t="s">
        <v>40</v>
      </c>
      <c r="I26" s="2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3" t="n">
        <v>46076</v>
      </c>
      <c r="B27" s="44" t="n">
        <v>223000</v>
      </c>
      <c r="C27" s="43" t="n">
        <v>46083</v>
      </c>
      <c r="D27" s="44" t="n">
        <v>223000</v>
      </c>
      <c r="E27" s="43" t="n">
        <v>46090</v>
      </c>
      <c r="F27" s="44" t="n">
        <v>223000</v>
      </c>
      <c r="G27" s="43" t="n">
        <v>46097</v>
      </c>
      <c r="H27" s="44" t="n">
        <v>223000</v>
      </c>
      <c r="I27" s="45" t="n">
        <f aca="false">B33+D33+F33+H33</f>
        <v>892000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3" t="n">
        <v>46077</v>
      </c>
      <c r="B28" s="44"/>
      <c r="C28" s="43" t="n">
        <v>46084</v>
      </c>
      <c r="D28" s="44"/>
      <c r="E28" s="43" t="n">
        <v>46091</v>
      </c>
      <c r="F28" s="44"/>
      <c r="G28" s="43" t="n">
        <v>46098</v>
      </c>
      <c r="H28" s="44"/>
      <c r="I28" s="4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43" t="n">
        <v>46078</v>
      </c>
      <c r="B29" s="44"/>
      <c r="C29" s="43" t="n">
        <v>46085</v>
      </c>
      <c r="D29" s="44"/>
      <c r="E29" s="43" t="n">
        <v>46092</v>
      </c>
      <c r="F29" s="44"/>
      <c r="G29" s="43" t="n">
        <v>46099</v>
      </c>
      <c r="H29" s="44"/>
      <c r="I29" s="4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43" t="n">
        <v>46079</v>
      </c>
      <c r="B30" s="44"/>
      <c r="C30" s="43" t="n">
        <v>46086</v>
      </c>
      <c r="D30" s="44"/>
      <c r="E30" s="43" t="n">
        <v>46093</v>
      </c>
      <c r="F30" s="44"/>
      <c r="G30" s="43" t="n">
        <v>46100</v>
      </c>
      <c r="H30" s="44"/>
      <c r="I30" s="4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43" t="n">
        <v>46080</v>
      </c>
      <c r="B31" s="44"/>
      <c r="C31" s="43" t="n">
        <v>46087</v>
      </c>
      <c r="D31" s="44"/>
      <c r="E31" s="43" t="n">
        <v>46094</v>
      </c>
      <c r="F31" s="44"/>
      <c r="G31" s="43" t="n">
        <v>46101</v>
      </c>
      <c r="H31" s="44"/>
      <c r="I31" s="4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43" t="n">
        <v>46081</v>
      </c>
      <c r="B32" s="44"/>
      <c r="C32" s="43" t="n">
        <v>46088</v>
      </c>
      <c r="D32" s="44"/>
      <c r="E32" s="43" t="n">
        <v>46095</v>
      </c>
      <c r="F32" s="44"/>
      <c r="G32" s="43" t="n">
        <v>46102</v>
      </c>
      <c r="H32" s="44"/>
      <c r="I32" s="4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24"/>
      <c r="B33" s="46" t="n">
        <f aca="false">SUM(B27:B32)</f>
        <v>223000</v>
      </c>
      <c r="C33" s="24"/>
      <c r="D33" s="46" t="n">
        <f aca="false">SUM(D27:D32)</f>
        <v>223000</v>
      </c>
      <c r="E33" s="24"/>
      <c r="F33" s="46" t="n">
        <f aca="false">SUM(F27:F32)</f>
        <v>223000</v>
      </c>
      <c r="G33" s="24"/>
      <c r="H33" s="46" t="n">
        <f aca="false">SUM(H27:H32)</f>
        <v>223000</v>
      </c>
      <c r="I33" s="47" t="n">
        <v>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42" t="s">
        <v>41</v>
      </c>
      <c r="B34" s="49" t="s">
        <v>45</v>
      </c>
      <c r="C34" s="42" t="s">
        <v>41</v>
      </c>
      <c r="D34" s="49" t="s">
        <v>46</v>
      </c>
      <c r="E34" s="42" t="s">
        <v>41</v>
      </c>
      <c r="F34" s="49" t="s">
        <v>47</v>
      </c>
      <c r="G34" s="42" t="s">
        <v>41</v>
      </c>
      <c r="H34" s="49" t="s">
        <v>48</v>
      </c>
      <c r="I34" s="50" t="n">
        <v>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51"/>
      <c r="B35" s="51"/>
      <c r="C35" s="51"/>
      <c r="D35" s="51"/>
      <c r="E35" s="51"/>
      <c r="F35" s="51"/>
      <c r="G35" s="51"/>
      <c r="H35" s="51"/>
      <c r="I35" s="5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42" t="s">
        <v>39</v>
      </c>
      <c r="B37" s="42" t="s">
        <v>40</v>
      </c>
      <c r="C37" s="42" t="s">
        <v>39</v>
      </c>
      <c r="D37" s="42" t="s">
        <v>40</v>
      </c>
      <c r="E37" s="42" t="s">
        <v>39</v>
      </c>
      <c r="F37" s="42" t="s">
        <v>40</v>
      </c>
      <c r="G37" s="42" t="s">
        <v>39</v>
      </c>
      <c r="H37" s="42" t="s">
        <v>40</v>
      </c>
      <c r="I37" s="2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43" t="n">
        <v>46104</v>
      </c>
      <c r="B38" s="44" t="n">
        <v>223000</v>
      </c>
      <c r="C38" s="43" t="n">
        <v>46111</v>
      </c>
      <c r="D38" s="44" t="n">
        <v>186000</v>
      </c>
      <c r="E38" s="43" t="n">
        <v>46118</v>
      </c>
      <c r="F38" s="44" t="n">
        <v>223000</v>
      </c>
      <c r="G38" s="43" t="n">
        <v>46125</v>
      </c>
      <c r="H38" s="44" t="n">
        <v>223000</v>
      </c>
      <c r="I38" s="45" t="n">
        <f aca="false">B44+D44+F44+H44</f>
        <v>855000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43" t="n">
        <v>46105</v>
      </c>
      <c r="B39" s="44"/>
      <c r="C39" s="43" t="n">
        <v>46112</v>
      </c>
      <c r="D39" s="44"/>
      <c r="E39" s="43" t="n">
        <v>46119</v>
      </c>
      <c r="F39" s="44"/>
      <c r="G39" s="43" t="n">
        <v>46126</v>
      </c>
      <c r="H39" s="44"/>
      <c r="I39" s="4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43" t="n">
        <v>46106</v>
      </c>
      <c r="B40" s="44"/>
      <c r="C40" s="43" t="n">
        <v>46113</v>
      </c>
      <c r="D40" s="44"/>
      <c r="E40" s="43" t="n">
        <v>46120</v>
      </c>
      <c r="F40" s="44"/>
      <c r="G40" s="43" t="n">
        <v>46127</v>
      </c>
      <c r="H40" s="44"/>
      <c r="I40" s="4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43" t="n">
        <v>46107</v>
      </c>
      <c r="B41" s="44"/>
      <c r="C41" s="43" t="n">
        <v>46114</v>
      </c>
      <c r="D41" s="44"/>
      <c r="E41" s="43" t="n">
        <v>46121</v>
      </c>
      <c r="F41" s="44"/>
      <c r="G41" s="43" t="n">
        <v>46128</v>
      </c>
      <c r="H41" s="44"/>
      <c r="I41" s="4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43" t="n">
        <v>46108</v>
      </c>
      <c r="B42" s="44"/>
      <c r="C42" s="43" t="n">
        <v>46115</v>
      </c>
      <c r="D42" s="44"/>
      <c r="E42" s="43" t="n">
        <v>46122</v>
      </c>
      <c r="F42" s="44"/>
      <c r="G42" s="43" t="n">
        <v>46129</v>
      </c>
      <c r="H42" s="44"/>
      <c r="I42" s="4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43" t="n">
        <v>46109</v>
      </c>
      <c r="B43" s="44"/>
      <c r="C43" s="43" t="n">
        <v>46116</v>
      </c>
      <c r="D43" s="44"/>
      <c r="E43" s="43" t="n">
        <v>46123</v>
      </c>
      <c r="F43" s="44"/>
      <c r="G43" s="43" t="n">
        <v>46130</v>
      </c>
      <c r="H43" s="44"/>
      <c r="I43" s="4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false" outlineLevel="0" collapsed="false">
      <c r="A44" s="24"/>
      <c r="B44" s="46" t="n">
        <f aca="false">SUM(B38:B43)</f>
        <v>223000</v>
      </c>
      <c r="C44" s="24"/>
      <c r="D44" s="46" t="n">
        <f aca="false">SUM(D38:D43)</f>
        <v>186000</v>
      </c>
      <c r="E44" s="24"/>
      <c r="F44" s="46" t="n">
        <f aca="false">SUM(F38:F43)</f>
        <v>223000</v>
      </c>
      <c r="G44" s="24"/>
      <c r="H44" s="46" t="n">
        <f aca="false">SUM(H38:H43)</f>
        <v>223000</v>
      </c>
      <c r="I44" s="47" t="n">
        <v>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false" outlineLevel="0" collapsed="false">
      <c r="A45" s="42" t="s">
        <v>41</v>
      </c>
      <c r="B45" s="49" t="s">
        <v>49</v>
      </c>
      <c r="C45" s="42" t="s">
        <v>41</v>
      </c>
      <c r="D45" s="49" t="s">
        <v>50</v>
      </c>
      <c r="E45" s="42" t="s">
        <v>41</v>
      </c>
      <c r="F45" s="49" t="s">
        <v>51</v>
      </c>
      <c r="G45" s="42" t="s">
        <v>41</v>
      </c>
      <c r="H45" s="49" t="s">
        <v>52</v>
      </c>
      <c r="I45" s="50" t="n">
        <v>1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51"/>
      <c r="B46" s="51"/>
      <c r="C46" s="51"/>
      <c r="D46" s="51"/>
      <c r="E46" s="51"/>
      <c r="F46" s="51"/>
      <c r="G46" s="51"/>
      <c r="H46" s="51"/>
      <c r="I46" s="5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false" outlineLevel="0" collapsed="false">
      <c r="A48" s="42" t="s">
        <v>39</v>
      </c>
      <c r="B48" s="42" t="s">
        <v>40</v>
      </c>
      <c r="C48" s="42" t="s">
        <v>39</v>
      </c>
      <c r="D48" s="42" t="s">
        <v>40</v>
      </c>
      <c r="E48" s="42" t="s">
        <v>39</v>
      </c>
      <c r="F48" s="42" t="s">
        <v>40</v>
      </c>
      <c r="G48" s="42" t="s">
        <v>39</v>
      </c>
      <c r="H48" s="42" t="s">
        <v>40</v>
      </c>
      <c r="I48" s="2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43" t="n">
        <v>46132</v>
      </c>
      <c r="B49" s="44" t="n">
        <v>223000</v>
      </c>
      <c r="C49" s="43" t="n">
        <v>46139</v>
      </c>
      <c r="D49" s="44" t="n">
        <v>223000</v>
      </c>
      <c r="E49" s="43" t="n">
        <v>46146</v>
      </c>
      <c r="F49" s="44" t="n">
        <v>223000</v>
      </c>
      <c r="G49" s="43" t="n">
        <v>46153</v>
      </c>
      <c r="H49" s="44" t="n">
        <v>223000</v>
      </c>
      <c r="I49" s="45" t="n">
        <f aca="false">B55+D55+F55+H55</f>
        <v>892000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43" t="n">
        <v>46133</v>
      </c>
      <c r="B50" s="44"/>
      <c r="C50" s="43" t="n">
        <v>46140</v>
      </c>
      <c r="D50" s="44"/>
      <c r="E50" s="43" t="n">
        <v>46147</v>
      </c>
      <c r="F50" s="44"/>
      <c r="G50" s="43" t="n">
        <v>46154</v>
      </c>
      <c r="H50" s="44"/>
      <c r="I50" s="4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43" t="n">
        <v>46134</v>
      </c>
      <c r="B51" s="44"/>
      <c r="C51" s="43" t="n">
        <v>46141</v>
      </c>
      <c r="D51" s="44"/>
      <c r="E51" s="43" t="n">
        <v>46148</v>
      </c>
      <c r="F51" s="44"/>
      <c r="G51" s="43" t="n">
        <v>46155</v>
      </c>
      <c r="H51" s="44"/>
      <c r="I51" s="4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43" t="n">
        <v>46135</v>
      </c>
      <c r="B52" s="44"/>
      <c r="C52" s="43" t="n">
        <v>46142</v>
      </c>
      <c r="D52" s="44"/>
      <c r="E52" s="43" t="n">
        <v>46149</v>
      </c>
      <c r="F52" s="44"/>
      <c r="G52" s="43" t="n">
        <v>46156</v>
      </c>
      <c r="H52" s="44"/>
      <c r="I52" s="4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false" outlineLevel="0" collapsed="false">
      <c r="A53" s="43" t="n">
        <v>46136</v>
      </c>
      <c r="B53" s="44"/>
      <c r="C53" s="43" t="n">
        <v>46143</v>
      </c>
      <c r="D53" s="44"/>
      <c r="E53" s="43" t="n">
        <v>46150</v>
      </c>
      <c r="F53" s="44"/>
      <c r="G53" s="43" t="n">
        <v>46157</v>
      </c>
      <c r="H53" s="44"/>
      <c r="I53" s="4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43" t="n">
        <v>46137</v>
      </c>
      <c r="B54" s="44"/>
      <c r="C54" s="43" t="n">
        <v>46144</v>
      </c>
      <c r="D54" s="44"/>
      <c r="E54" s="43" t="n">
        <v>46151</v>
      </c>
      <c r="F54" s="44"/>
      <c r="G54" s="43" t="n">
        <v>46158</v>
      </c>
      <c r="H54" s="44"/>
      <c r="I54" s="4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24"/>
      <c r="B55" s="46" t="n">
        <f aca="false">SUM(B49:B54)</f>
        <v>223000</v>
      </c>
      <c r="C55" s="24"/>
      <c r="D55" s="46" t="n">
        <f aca="false">SUM(D49:D54)</f>
        <v>223000</v>
      </c>
      <c r="E55" s="24"/>
      <c r="F55" s="46" t="n">
        <f aca="false">SUM(F49:F54)</f>
        <v>223000</v>
      </c>
      <c r="G55" s="24"/>
      <c r="H55" s="46" t="n">
        <f aca="false">SUM(H49:H54)</f>
        <v>223000</v>
      </c>
      <c r="I55" s="47" t="n">
        <v>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42" t="s">
        <v>41</v>
      </c>
      <c r="B56" s="49" t="s">
        <v>53</v>
      </c>
      <c r="C56" s="42" t="s">
        <v>41</v>
      </c>
      <c r="D56" s="49" t="s">
        <v>54</v>
      </c>
      <c r="E56" s="42" t="s">
        <v>41</v>
      </c>
      <c r="F56" s="49" t="s">
        <v>55</v>
      </c>
      <c r="G56" s="42" t="s">
        <v>41</v>
      </c>
      <c r="H56" s="49" t="s">
        <v>56</v>
      </c>
      <c r="I56" s="50" t="n">
        <v>1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51"/>
      <c r="B57" s="51"/>
      <c r="C57" s="51"/>
      <c r="D57" s="51"/>
      <c r="E57" s="51"/>
      <c r="F57" s="51"/>
      <c r="G57" s="51"/>
      <c r="H57" s="51"/>
      <c r="I57" s="51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false" outlineLevel="0" collapsed="false">
      <c r="A59" s="42" t="s">
        <v>39</v>
      </c>
      <c r="B59" s="42" t="s">
        <v>40</v>
      </c>
      <c r="C59" s="42" t="s">
        <v>39</v>
      </c>
      <c r="D59" s="42" t="s">
        <v>40</v>
      </c>
      <c r="E59" s="42" t="s">
        <v>39</v>
      </c>
      <c r="F59" s="42" t="s">
        <v>40</v>
      </c>
      <c r="G59" s="42" t="s">
        <v>39</v>
      </c>
      <c r="H59" s="42" t="s">
        <v>40</v>
      </c>
      <c r="I59" s="2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false" outlineLevel="0" collapsed="false">
      <c r="A60" s="43" t="n">
        <v>46160</v>
      </c>
      <c r="B60" s="44" t="n">
        <v>223000</v>
      </c>
      <c r="C60" s="43" t="n">
        <v>46167</v>
      </c>
      <c r="D60" s="44" t="n">
        <v>223000</v>
      </c>
      <c r="E60" s="43" t="n">
        <v>46174</v>
      </c>
      <c r="F60" s="44"/>
      <c r="G60" s="43" t="n">
        <v>46181</v>
      </c>
      <c r="H60" s="44"/>
      <c r="I60" s="45" t="n">
        <f aca="false">B66+D66+F66+H66</f>
        <v>446000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false" outlineLevel="0" collapsed="false">
      <c r="A61" s="43" t="n">
        <v>46161</v>
      </c>
      <c r="B61" s="44"/>
      <c r="C61" s="43" t="n">
        <v>46168</v>
      </c>
      <c r="D61" s="44"/>
      <c r="E61" s="43" t="n">
        <v>46175</v>
      </c>
      <c r="F61" s="44"/>
      <c r="G61" s="43" t="n">
        <v>46182</v>
      </c>
      <c r="H61" s="44"/>
      <c r="I61" s="4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false" outlineLevel="0" collapsed="false">
      <c r="A62" s="43" t="n">
        <v>46162</v>
      </c>
      <c r="B62" s="44"/>
      <c r="C62" s="43" t="n">
        <v>46169</v>
      </c>
      <c r="D62" s="44"/>
      <c r="E62" s="43" t="n">
        <v>46176</v>
      </c>
      <c r="F62" s="44"/>
      <c r="G62" s="43" t="n">
        <v>46183</v>
      </c>
      <c r="H62" s="44"/>
      <c r="I62" s="4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false" outlineLevel="0" collapsed="false">
      <c r="A63" s="43" t="n">
        <v>46163</v>
      </c>
      <c r="B63" s="44"/>
      <c r="C63" s="43" t="n">
        <v>46170</v>
      </c>
      <c r="D63" s="44"/>
      <c r="E63" s="43" t="n">
        <v>46177</v>
      </c>
      <c r="F63" s="44"/>
      <c r="G63" s="43" t="n">
        <v>46184</v>
      </c>
      <c r="H63" s="44"/>
      <c r="I63" s="4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false" outlineLevel="0" collapsed="false">
      <c r="A64" s="43" t="n">
        <v>46164</v>
      </c>
      <c r="B64" s="44"/>
      <c r="C64" s="43" t="n">
        <v>46171</v>
      </c>
      <c r="D64" s="44"/>
      <c r="E64" s="43" t="n">
        <v>46178</v>
      </c>
      <c r="F64" s="44"/>
      <c r="G64" s="43" t="n">
        <v>46185</v>
      </c>
      <c r="H64" s="44"/>
      <c r="I64" s="4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false" outlineLevel="0" collapsed="false">
      <c r="A65" s="43" t="n">
        <v>46165</v>
      </c>
      <c r="B65" s="44"/>
      <c r="C65" s="43" t="n">
        <v>46172</v>
      </c>
      <c r="D65" s="44"/>
      <c r="E65" s="43" t="n">
        <v>46179</v>
      </c>
      <c r="F65" s="44"/>
      <c r="G65" s="43" t="n">
        <v>46186</v>
      </c>
      <c r="H65" s="44"/>
      <c r="I65" s="4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false" outlineLevel="0" collapsed="false">
      <c r="A66" s="24"/>
      <c r="B66" s="46" t="n">
        <f aca="false">SUM(B60:B65)</f>
        <v>223000</v>
      </c>
      <c r="C66" s="24"/>
      <c r="D66" s="46" t="n">
        <f aca="false">SUM(D60:D65)</f>
        <v>223000</v>
      </c>
      <c r="E66" s="24"/>
      <c r="F66" s="46" t="n">
        <f aca="false">SUM(F60:F65)</f>
        <v>0</v>
      </c>
      <c r="G66" s="24"/>
      <c r="H66" s="46" t="n">
        <f aca="false">SUM(H60:H65)</f>
        <v>0</v>
      </c>
      <c r="I66" s="47" t="n">
        <v>5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false" outlineLevel="0" collapsed="false">
      <c r="A67" s="42" t="s">
        <v>41</v>
      </c>
      <c r="B67" s="49" t="s">
        <v>57</v>
      </c>
      <c r="C67" s="42" t="s">
        <v>41</v>
      </c>
      <c r="D67" s="48"/>
      <c r="E67" s="42" t="s">
        <v>41</v>
      </c>
      <c r="F67" s="48"/>
      <c r="G67" s="42" t="s">
        <v>41</v>
      </c>
      <c r="H67" s="48"/>
      <c r="I67" s="50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51"/>
      <c r="B68" s="51"/>
      <c r="C68" s="51"/>
      <c r="D68" s="51"/>
      <c r="E68" s="51"/>
      <c r="F68" s="51"/>
      <c r="G68" s="51"/>
      <c r="H68" s="51"/>
      <c r="I68" s="51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false" outlineLevel="0" collapsed="false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customFormat="false" ht="15.75" hidden="false" customHeight="false" outlineLevel="0" collapsed="false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customFormat="false" ht="15.75" hidden="false" customHeight="false" outlineLevel="0" collapsed="false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customFormat="false" ht="15.75" hidden="false" customHeight="false" outlineLevel="0" collapsed="false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customFormat="false" ht="15.75" hidden="false" customHeight="false" outlineLevel="0" collapsed="false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customFormat="false" ht="15.75" hidden="false" customHeight="false" outlineLevel="0" collapsed="false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customFormat="false" ht="15.75" hidden="false" customHeight="false" outlineLevel="0" collapsed="false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customFormat="false" ht="15.75" hidden="false" customHeight="false" outlineLevel="0" collapsed="false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customFormat="false" ht="15.75" hidden="false" customHeight="false" outlineLevel="0" collapsed="false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customFormat="false" ht="15.75" hidden="false" customHeight="false" outlineLevel="0" collapsed="false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customFormat="false" ht="15.75" hidden="false" customHeight="false" outlineLevel="0" collapsed="false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customFormat="false" ht="15.75" hidden="false" customHeight="false" outlineLevel="0" collapsed="false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customFormat="false" ht="15.75" hidden="false" customHeight="false" outlineLevel="0" collapsed="false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customFormat="false" ht="15.75" hidden="false" customHeight="false" outlineLevel="0" collapsed="false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customFormat="false" ht="15.75" hidden="false" customHeight="false" outlineLevel="0" collapsed="false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customFormat="false" ht="15.75" hidden="false" customHeight="false" outlineLevel="0" collapsed="false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customFormat="false" ht="15.75" hidden="false" customHeight="false" outlineLevel="0" collapsed="false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customFormat="false" ht="15.75" hidden="false" customHeight="false" outlineLevel="0" collapsed="false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customFormat="false" ht="15.75" hidden="false" customHeight="false" outlineLevel="0" collapsed="false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customFormat="false" ht="15.75" hidden="false" customHeight="false" outlineLevel="0" collapsed="false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customFormat="false" ht="15.75" hidden="false" customHeight="false" outlineLevel="0" collapsed="false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customFormat="false" ht="15.75" hidden="false" customHeight="false" outlineLevel="0" collapsed="false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customFormat="false" ht="15.75" hidden="false" customHeight="false" outlineLevel="0" collapsed="false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customFormat="false" ht="15.75" hidden="false" customHeight="false" outlineLevel="0" collapsed="false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customFormat="false" ht="15.75" hidden="false" customHeight="false" outlineLevel="0" collapsed="false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customFormat="false" ht="15.75" hidden="false" customHeight="false" outlineLevel="0" collapsed="false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customFormat="false" ht="15.75" hidden="false" customHeight="false" outlineLevel="0" collapsed="false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customFormat="false" ht="15.75" hidden="false" customHeight="false" outlineLevel="0" collapsed="false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customFormat="false" ht="15.75" hidden="false" customHeight="false" outlineLevel="0" collapsed="false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customFormat="false" ht="15.75" hidden="false" customHeight="false" outlineLevel="0" collapsed="false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customFormat="false" ht="15.75" hidden="false" customHeight="false" outlineLevel="0" collapsed="false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customFormat="false" ht="15.75" hidden="false" customHeight="false" outlineLevel="0" collapsed="false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customFormat="false" ht="15.75" hidden="false" customHeight="false" outlineLevel="0" collapsed="false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customFormat="false" ht="15.75" hidden="false" customHeight="false" outlineLevel="0" collapsed="false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customFormat="false" ht="15.75" hidden="false" customHeight="false" outlineLevel="0" collapsed="false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customFormat="false" ht="15.75" hidden="false" customHeight="false" outlineLevel="0" collapsed="false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customFormat="false" ht="15.75" hidden="false" customHeight="false" outlineLevel="0" collapsed="false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customFormat="false" ht="15.75" hidden="false" customHeight="false" outlineLevel="0" collapsed="false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customFormat="false" ht="15.75" hidden="false" customHeight="false" outlineLevel="0" collapsed="false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customFormat="false" ht="15.75" hidden="false" customHeight="false" outlineLevel="0" collapsed="false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customFormat="false" ht="15.75" hidden="false" customHeight="false" outlineLevel="0" collapsed="false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customFormat="false" ht="15.75" hidden="false" customHeight="false" outlineLevel="0" collapsed="false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customFormat="false" ht="15.75" hidden="false" customHeight="false" outlineLevel="0" collapsed="false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customFormat="false" ht="15.75" hidden="false" customHeight="false" outlineLevel="0" collapsed="false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customFormat="false" ht="15.75" hidden="false" customHeight="false" outlineLevel="0" collapsed="false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customFormat="false" ht="15.75" hidden="false" customHeight="false" outlineLevel="0" collapsed="false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customFormat="false" ht="15.75" hidden="false" customHeight="false" outlineLevel="0" collapsed="false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customFormat="false" ht="15.75" hidden="false" customHeight="false" outlineLevel="0" collapsed="false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customFormat="false" ht="15.75" hidden="false" customHeight="false" outlineLevel="0" collapsed="false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customFormat="false" ht="15.75" hidden="false" customHeight="false" outlineLevel="0" collapsed="false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customFormat="false" ht="15.75" hidden="false" customHeight="false" outlineLevel="0" collapsed="false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customFormat="false" ht="15.75" hidden="false" customHeight="false" outlineLevel="0" collapsed="false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customFormat="false" ht="15.75" hidden="false" customHeight="false" outlineLevel="0" collapsed="false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customFormat="false" ht="15.75" hidden="false" customHeight="false" outlineLevel="0" collapsed="false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customFormat="false" ht="15.75" hidden="false" customHeight="false" outlineLevel="0" collapsed="false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customFormat="false" ht="15.75" hidden="false" customHeight="false" outlineLevel="0" collapsed="false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customFormat="false" ht="15.75" hidden="false" customHeight="false" outlineLevel="0" collapsed="false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customFormat="false" ht="15.75" hidden="false" customHeight="false" outlineLevel="0" collapsed="false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customFormat="false" ht="15.75" hidden="false" customHeight="false" outlineLevel="0" collapsed="false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customFormat="false" ht="15.75" hidden="false" customHeight="false" outlineLevel="0" collapsed="false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customFormat="false" ht="15.75" hidden="false" customHeight="false" outlineLevel="0" collapsed="false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customFormat="false" ht="15.75" hidden="false" customHeight="false" outlineLevel="0" collapsed="false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customFormat="false" ht="15.75" hidden="false" customHeight="false" outlineLevel="0" collapsed="false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customFormat="false" ht="15.75" hidden="false" customHeight="false" outlineLevel="0" collapsed="false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customFormat="false" ht="15.75" hidden="false" customHeight="false" outlineLevel="0" collapsed="false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customFormat="false" ht="15.75" hidden="false" customHeight="false" outlineLevel="0" collapsed="false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customFormat="false" ht="15.75" hidden="false" customHeight="false" outlineLevel="0" collapsed="false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customFormat="false" ht="15.75" hidden="false" customHeight="false" outlineLevel="0" collapsed="false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customFormat="false" ht="15.75" hidden="false" customHeight="false" outlineLevel="0" collapsed="false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customFormat="false" ht="15.75" hidden="false" customHeight="false" outlineLevel="0" collapsed="false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customFormat="false" ht="15.75" hidden="false" customHeight="false" outlineLevel="0" collapsed="false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customFormat="false" ht="15.75" hidden="false" customHeight="false" outlineLevel="0" collapsed="false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customFormat="false" ht="15.75" hidden="false" customHeight="false" outlineLevel="0" collapsed="false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customFormat="false" ht="15.75" hidden="false" customHeight="false" outlineLevel="0" collapsed="false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customFormat="false" ht="15.75" hidden="false" customHeight="false" outlineLevel="0" collapsed="false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customFormat="false" ht="15.75" hidden="false" customHeight="false" outlineLevel="0" collapsed="false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customFormat="false" ht="15.75" hidden="false" customHeight="false" outlineLevel="0" collapsed="false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customFormat="false" ht="15.75" hidden="false" customHeight="false" outlineLevel="0" collapsed="false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customFormat="false" ht="15.75" hidden="false" customHeight="false" outlineLevel="0" collapsed="false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customFormat="false" ht="15.75" hidden="false" customHeight="false" outlineLevel="0" collapsed="false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customFormat="false" ht="15.75" hidden="false" customHeight="false" outlineLevel="0" collapsed="false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customFormat="false" ht="15.75" hidden="false" customHeight="false" outlineLevel="0" collapsed="false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customFormat="false" ht="15.75" hidden="false" customHeight="false" outlineLevel="0" collapsed="false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customFormat="false" ht="15.75" hidden="false" customHeight="false" outlineLevel="0" collapsed="false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customFormat="false" ht="15.75" hidden="false" customHeight="false" outlineLevel="0" collapsed="false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customFormat="false" ht="15.75" hidden="false" customHeight="false" outlineLevel="0" collapsed="false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customFormat="false" ht="15.75" hidden="false" customHeight="false" outlineLevel="0" collapsed="false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customFormat="false" ht="15.75" hidden="false" customHeight="false" outlineLevel="0" collapsed="false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customFormat="false" ht="15.75" hidden="false" customHeight="false" outlineLevel="0" collapsed="false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customFormat="false" ht="15.75" hidden="false" customHeight="false" outlineLevel="0" collapsed="false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customFormat="false" ht="15.75" hidden="false" customHeight="false" outlineLevel="0" collapsed="false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customFormat="false" ht="15.75" hidden="false" customHeight="false" outlineLevel="0" collapsed="false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customFormat="false" ht="15.75" hidden="false" customHeight="false" outlineLevel="0" collapsed="false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customFormat="false" ht="15.75" hidden="false" customHeight="false" outlineLevel="0" collapsed="false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customFormat="false" ht="15.75" hidden="false" customHeight="false" outlineLevel="0" collapsed="false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customFormat="false" ht="15.75" hidden="false" customHeight="false" outlineLevel="0" collapsed="false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customFormat="false" ht="15.75" hidden="false" customHeight="false" outlineLevel="0" collapsed="false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customFormat="false" ht="15.75" hidden="false" customHeight="false" outlineLevel="0" collapsed="false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customFormat="false" ht="15.75" hidden="false" customHeight="false" outlineLevel="0" collapsed="false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customFormat="false" ht="15.75" hidden="false" customHeight="false" outlineLevel="0" collapsed="false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customFormat="false" ht="15.75" hidden="false" customHeight="false" outlineLevel="0" collapsed="false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customFormat="false" ht="15.75" hidden="false" customHeight="false" outlineLevel="0" collapsed="false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customFormat="false" ht="15.75" hidden="false" customHeight="false" outlineLevel="0" collapsed="false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customFormat="false" ht="15.75" hidden="false" customHeight="false" outlineLevel="0" collapsed="false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customFormat="false" ht="15.75" hidden="false" customHeight="false" outlineLevel="0" collapsed="false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customFormat="false" ht="15.75" hidden="false" customHeight="false" outlineLevel="0" collapsed="false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customFormat="false" ht="15.75" hidden="false" customHeight="false" outlineLevel="0" collapsed="false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customFormat="false" ht="15.75" hidden="false" customHeight="false" outlineLevel="0" collapsed="false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customFormat="false" ht="15.75" hidden="false" customHeight="false" outlineLevel="0" collapsed="false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customFormat="false" ht="15.75" hidden="false" customHeight="false" outlineLevel="0" collapsed="false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customFormat="false" ht="15.75" hidden="false" customHeight="false" outlineLevel="0" collapsed="false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customFormat="false" ht="15.75" hidden="false" customHeight="false" outlineLevel="0" collapsed="false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customFormat="false" ht="15.75" hidden="false" customHeight="false" outlineLevel="0" collapsed="false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customFormat="false" ht="15.75" hidden="false" customHeight="false" outlineLevel="0" collapsed="false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customFormat="false" ht="15.75" hidden="false" customHeight="false" outlineLevel="0" collapsed="false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customFormat="false" ht="15.75" hidden="false" customHeight="false" outlineLevel="0" collapsed="false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customFormat="false" ht="15.75" hidden="false" customHeight="false" outlineLevel="0" collapsed="false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customFormat="false" ht="15.75" hidden="false" customHeight="false" outlineLevel="0" collapsed="false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customFormat="false" ht="15.75" hidden="false" customHeight="false" outlineLevel="0" collapsed="false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customFormat="false" ht="15.75" hidden="false" customHeight="false" outlineLevel="0" collapsed="false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customFormat="false" ht="15.75" hidden="false" customHeight="false" outlineLevel="0" collapsed="false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customFormat="false" ht="15.75" hidden="false" customHeight="false" outlineLevel="0" collapsed="false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customFormat="false" ht="15.75" hidden="false" customHeight="false" outlineLevel="0" collapsed="false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customFormat="false" ht="15.75" hidden="false" customHeight="false" outlineLevel="0" collapsed="false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customFormat="false" ht="15.75" hidden="false" customHeight="false" outlineLevel="0" collapsed="false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customFormat="false" ht="15.75" hidden="false" customHeight="false" outlineLevel="0" collapsed="false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customFormat="false" ht="15.75" hidden="false" customHeight="false" outlineLevel="0" collapsed="false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customFormat="false" ht="15.75" hidden="false" customHeight="false" outlineLevel="0" collapsed="false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customFormat="false" ht="15.75" hidden="false" customHeight="false" outlineLevel="0" collapsed="false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customFormat="false" ht="15.75" hidden="false" customHeight="false" outlineLevel="0" collapsed="false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customFormat="false" ht="15.75" hidden="false" customHeight="false" outlineLevel="0" collapsed="false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customFormat="false" ht="15.75" hidden="false" customHeight="false" outlineLevel="0" collapsed="false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customFormat="false" ht="15.75" hidden="false" customHeight="false" outlineLevel="0" collapsed="false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customFormat="false" ht="15.75" hidden="false" customHeight="false" outlineLevel="0" collapsed="false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customFormat="false" ht="15.75" hidden="false" customHeight="false" outlineLevel="0" collapsed="false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customFormat="false" ht="15.75" hidden="false" customHeight="false" outlineLevel="0" collapsed="false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customFormat="false" ht="15.75" hidden="false" customHeight="false" outlineLevel="0" collapsed="false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customFormat="false" ht="15.75" hidden="false" customHeight="false" outlineLevel="0" collapsed="false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customFormat="false" ht="15.75" hidden="false" customHeight="false" outlineLevel="0" collapsed="false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customFormat="false" ht="15.75" hidden="false" customHeight="false" outlineLevel="0" collapsed="false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customFormat="false" ht="15.75" hidden="false" customHeight="false" outlineLevel="0" collapsed="false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customFormat="false" ht="15.75" hidden="false" customHeight="false" outlineLevel="0" collapsed="false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customFormat="false" ht="15.75" hidden="false" customHeight="false" outlineLevel="0" collapsed="false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customFormat="false" ht="15.75" hidden="false" customHeight="false" outlineLevel="0" collapsed="false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customFormat="false" ht="15.75" hidden="false" customHeight="false" outlineLevel="0" collapsed="false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customFormat="false" ht="15.75" hidden="false" customHeight="false" outlineLevel="0" collapsed="false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customFormat="false" ht="15.75" hidden="false" customHeight="false" outlineLevel="0" collapsed="false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customFormat="false" ht="15.75" hidden="false" customHeight="false" outlineLevel="0" collapsed="false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customFormat="false" ht="15.75" hidden="false" customHeight="false" outlineLevel="0" collapsed="false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customFormat="false" ht="15.75" hidden="false" customHeight="false" outlineLevel="0" collapsed="false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customFormat="false" ht="15.75" hidden="false" customHeight="false" outlineLevel="0" collapsed="false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customFormat="false" ht="15.75" hidden="false" customHeight="false" outlineLevel="0" collapsed="false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customFormat="false" ht="15.75" hidden="false" customHeight="false" outlineLevel="0" collapsed="false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customFormat="false" ht="15.75" hidden="false" customHeight="false" outlineLevel="0" collapsed="false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customFormat="false" ht="15.75" hidden="false" customHeight="false" outlineLevel="0" collapsed="false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customFormat="false" ht="15.75" hidden="false" customHeight="false" outlineLevel="0" collapsed="false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customFormat="false" ht="15.75" hidden="false" customHeight="false" outlineLevel="0" collapsed="false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customFormat="false" ht="15.75" hidden="false" customHeight="false" outlineLevel="0" collapsed="false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customFormat="false" ht="15.75" hidden="false" customHeight="false" outlineLevel="0" collapsed="false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customFormat="false" ht="15.75" hidden="false" customHeight="false" outlineLevel="0" collapsed="false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customFormat="false" ht="15.75" hidden="false" customHeight="false" outlineLevel="0" collapsed="false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customFormat="false" ht="15.75" hidden="false" customHeight="false" outlineLevel="0" collapsed="false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customFormat="false" ht="15.75" hidden="false" customHeight="false" outlineLevel="0" collapsed="false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customFormat="false" ht="15.75" hidden="false" customHeight="false" outlineLevel="0" collapsed="false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customFormat="false" ht="15.75" hidden="false" customHeight="false" outlineLevel="0" collapsed="false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customFormat="false" ht="15.75" hidden="false" customHeight="false" outlineLevel="0" collapsed="false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customFormat="false" ht="15.75" hidden="false" customHeight="false" outlineLevel="0" collapsed="false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customFormat="false" ht="15.75" hidden="false" customHeight="false" outlineLevel="0" collapsed="false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customFormat="false" ht="15.75" hidden="false" customHeight="false" outlineLevel="0" collapsed="false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customFormat="false" ht="15.75" hidden="false" customHeight="false" outlineLevel="0" collapsed="false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customFormat="false" ht="15.75" hidden="false" customHeight="false" outlineLevel="0" collapsed="false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customFormat="false" ht="15.75" hidden="false" customHeight="false" outlineLevel="0" collapsed="false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customFormat="false" ht="15.75" hidden="false" customHeight="false" outlineLevel="0" collapsed="false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customFormat="false" ht="15.75" hidden="false" customHeight="false" outlineLevel="0" collapsed="false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customFormat="false" ht="15.75" hidden="false" customHeight="false" outlineLevel="0" collapsed="false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customFormat="false" ht="15.75" hidden="false" customHeight="false" outlineLevel="0" collapsed="false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customFormat="false" ht="15.75" hidden="false" customHeight="false" outlineLevel="0" collapsed="false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customFormat="false" ht="15.75" hidden="false" customHeight="false" outlineLevel="0" collapsed="false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customFormat="false" ht="15.75" hidden="false" customHeight="false" outlineLevel="0" collapsed="false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customFormat="false" ht="15.75" hidden="false" customHeight="false" outlineLevel="0" collapsed="false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customFormat="false" ht="15.75" hidden="false" customHeight="false" outlineLevel="0" collapsed="false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customFormat="false" ht="15.75" hidden="false" customHeight="false" outlineLevel="0" collapsed="false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customFormat="false" ht="15.75" hidden="false" customHeight="false" outlineLevel="0" collapsed="false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customFormat="false" ht="15.75" hidden="false" customHeight="false" outlineLevel="0" collapsed="false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customFormat="false" ht="15.75" hidden="false" customHeight="false" outlineLevel="0" collapsed="false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customFormat="false" ht="15.75" hidden="false" customHeight="false" outlineLevel="0" collapsed="false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customFormat="false" ht="15.75" hidden="false" customHeight="false" outlineLevel="0" collapsed="false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customFormat="false" ht="15.75" hidden="false" customHeight="false" outlineLevel="0" collapsed="false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customFormat="false" ht="15.75" hidden="false" customHeight="false" outlineLevel="0" collapsed="false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customFormat="false" ht="15.75" hidden="false" customHeight="false" outlineLevel="0" collapsed="false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customFormat="false" ht="15.75" hidden="false" customHeight="false" outlineLevel="0" collapsed="false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customFormat="false" ht="15.75" hidden="false" customHeight="false" outlineLevel="0" collapsed="false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customFormat="false" ht="15.75" hidden="false" customHeight="false" outlineLevel="0" collapsed="false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customFormat="false" ht="15.75" hidden="false" customHeight="false" outlineLevel="0" collapsed="false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customFormat="false" ht="15.75" hidden="false" customHeight="false" outlineLevel="0" collapsed="false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customFormat="false" ht="15.75" hidden="false" customHeight="false" outlineLevel="0" collapsed="false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customFormat="false" ht="15.75" hidden="false" customHeight="false" outlineLevel="0" collapsed="false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customFormat="false" ht="15.75" hidden="false" customHeight="false" outlineLevel="0" collapsed="false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customFormat="false" ht="15.75" hidden="false" customHeight="false" outlineLevel="0" collapsed="false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customFormat="false" ht="15.75" hidden="false" customHeight="false" outlineLevel="0" collapsed="false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customFormat="false" ht="15.75" hidden="false" customHeight="false" outlineLevel="0" collapsed="false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customFormat="false" ht="15.75" hidden="false" customHeight="false" outlineLevel="0" collapsed="false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customFormat="false" ht="15.75" hidden="false" customHeight="false" outlineLevel="0" collapsed="false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customFormat="false" ht="15.75" hidden="false" customHeight="false" outlineLevel="0" collapsed="false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customFormat="false" ht="15.75" hidden="false" customHeight="false" outlineLevel="0" collapsed="false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customFormat="false" ht="15.75" hidden="false" customHeight="false" outlineLevel="0" collapsed="false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customFormat="false" ht="15.75" hidden="false" customHeight="false" outlineLevel="0" collapsed="false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customFormat="false" ht="15.75" hidden="false" customHeight="false" outlineLevel="0" collapsed="false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customFormat="false" ht="15.75" hidden="false" customHeight="false" outlineLevel="0" collapsed="false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customFormat="false" ht="15.75" hidden="false" customHeight="false" outlineLevel="0" collapsed="false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customFormat="false" ht="15.75" hidden="false" customHeight="false" outlineLevel="0" collapsed="false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customFormat="false" ht="15.75" hidden="false" customHeight="false" outlineLevel="0" collapsed="false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customFormat="false" ht="15.75" hidden="false" customHeight="false" outlineLevel="0" collapsed="false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customFormat="false" ht="15.75" hidden="false" customHeight="false" outlineLevel="0" collapsed="false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customFormat="false" ht="15.75" hidden="false" customHeight="false" outlineLevel="0" collapsed="false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customFormat="false" ht="15.75" hidden="false" customHeight="false" outlineLevel="0" collapsed="false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customFormat="false" ht="15.75" hidden="false" customHeight="false" outlineLevel="0" collapsed="false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customFormat="false" ht="15.75" hidden="false" customHeight="false" outlineLevel="0" collapsed="false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customFormat="false" ht="15.75" hidden="false" customHeight="false" outlineLevel="0" collapsed="false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customFormat="false" ht="15.75" hidden="false" customHeight="false" outlineLevel="0" collapsed="false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customFormat="false" ht="15.75" hidden="false" customHeight="false" outlineLevel="0" collapsed="false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customFormat="false" ht="15.75" hidden="false" customHeight="false" outlineLevel="0" collapsed="false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customFormat="false" ht="15.75" hidden="false" customHeight="false" outlineLevel="0" collapsed="false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customFormat="false" ht="15.75" hidden="false" customHeight="false" outlineLevel="0" collapsed="false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customFormat="false" ht="15.75" hidden="false" customHeight="false" outlineLevel="0" collapsed="false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customFormat="false" ht="15.75" hidden="false" customHeight="false" outlineLevel="0" collapsed="false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customFormat="false" ht="15.75" hidden="false" customHeight="false" outlineLevel="0" collapsed="false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customFormat="false" ht="15.75" hidden="false" customHeight="false" outlineLevel="0" collapsed="false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customFormat="false" ht="15.75" hidden="false" customHeight="false" outlineLevel="0" collapsed="false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customFormat="false" ht="15.75" hidden="false" customHeight="false" outlineLevel="0" collapsed="false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customFormat="false" ht="15.75" hidden="false" customHeight="false" outlineLevel="0" collapsed="false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customFormat="false" ht="15.75" hidden="false" customHeight="false" outlineLevel="0" collapsed="false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customFormat="false" ht="15.75" hidden="false" customHeight="false" outlineLevel="0" collapsed="false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customFormat="false" ht="15.75" hidden="false" customHeight="false" outlineLevel="0" collapsed="false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customFormat="false" ht="15.75" hidden="false" customHeight="false" outlineLevel="0" collapsed="false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customFormat="false" ht="15.75" hidden="false" customHeight="false" outlineLevel="0" collapsed="false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customFormat="false" ht="15.75" hidden="false" customHeight="false" outlineLevel="0" collapsed="false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customFormat="false" ht="15.75" hidden="false" customHeight="false" outlineLevel="0" collapsed="false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customFormat="false" ht="15.75" hidden="false" customHeight="false" outlineLevel="0" collapsed="false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customFormat="false" ht="15.75" hidden="false" customHeight="false" outlineLevel="0" collapsed="false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customFormat="false" ht="15.75" hidden="false" customHeight="false" outlineLevel="0" collapsed="false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customFormat="false" ht="15.75" hidden="false" customHeight="false" outlineLevel="0" collapsed="false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customFormat="false" ht="15.75" hidden="false" customHeight="false" outlineLevel="0" collapsed="false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customFormat="false" ht="15.75" hidden="false" customHeight="false" outlineLevel="0" collapsed="false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customFormat="false" ht="15.75" hidden="false" customHeight="false" outlineLevel="0" collapsed="false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customFormat="false" ht="15.75" hidden="false" customHeight="false" outlineLevel="0" collapsed="false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customFormat="false" ht="15.75" hidden="false" customHeight="false" outlineLevel="0" collapsed="false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customFormat="false" ht="15.75" hidden="false" customHeight="false" outlineLevel="0" collapsed="false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customFormat="false" ht="15.75" hidden="false" customHeight="false" outlineLevel="0" collapsed="false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customFormat="false" ht="15.75" hidden="false" customHeight="false" outlineLevel="0" collapsed="false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customFormat="false" ht="15.75" hidden="false" customHeight="false" outlineLevel="0" collapsed="false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customFormat="false" ht="15.75" hidden="false" customHeight="false" outlineLevel="0" collapsed="false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customFormat="false" ht="15.75" hidden="false" customHeight="false" outlineLevel="0" collapsed="false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customFormat="false" ht="15.75" hidden="false" customHeight="false" outlineLevel="0" collapsed="false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customFormat="false" ht="15.75" hidden="false" customHeight="false" outlineLevel="0" collapsed="false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customFormat="false" ht="15.75" hidden="false" customHeight="false" outlineLevel="0" collapsed="false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customFormat="false" ht="15.75" hidden="false" customHeight="false" outlineLevel="0" collapsed="false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customFormat="false" ht="15.75" hidden="false" customHeight="false" outlineLevel="0" collapsed="false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customFormat="false" ht="15.75" hidden="false" customHeight="false" outlineLevel="0" collapsed="false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customFormat="false" ht="15.75" hidden="false" customHeight="false" outlineLevel="0" collapsed="false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customFormat="false" ht="15.75" hidden="false" customHeight="false" outlineLevel="0" collapsed="false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customFormat="false" ht="15.75" hidden="false" customHeight="false" outlineLevel="0" collapsed="false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customFormat="false" ht="15.75" hidden="false" customHeight="false" outlineLevel="0" collapsed="false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customFormat="false" ht="15.75" hidden="false" customHeight="false" outlineLevel="0" collapsed="false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customFormat="false" ht="15.75" hidden="false" customHeight="false" outlineLevel="0" collapsed="false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customFormat="false" ht="15.75" hidden="false" customHeight="false" outlineLevel="0" collapsed="false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customFormat="false" ht="15.75" hidden="false" customHeight="false" outlineLevel="0" collapsed="false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customFormat="false" ht="15.75" hidden="false" customHeight="false" outlineLevel="0" collapsed="false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customFormat="false" ht="15.75" hidden="false" customHeight="false" outlineLevel="0" collapsed="false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customFormat="false" ht="15.75" hidden="false" customHeight="false" outlineLevel="0" collapsed="false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customFormat="false" ht="15.75" hidden="false" customHeight="false" outlineLevel="0" collapsed="false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customFormat="false" ht="15.75" hidden="false" customHeight="false" outlineLevel="0" collapsed="false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customFormat="false" ht="15.75" hidden="false" customHeight="false" outlineLevel="0" collapsed="false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customFormat="false" ht="15.75" hidden="false" customHeight="false" outlineLevel="0" collapsed="false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customFormat="false" ht="15.75" hidden="false" customHeight="false" outlineLevel="0" collapsed="false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customFormat="false" ht="15.75" hidden="false" customHeight="false" outlineLevel="0" collapsed="false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customFormat="false" ht="15.75" hidden="false" customHeight="false" outlineLevel="0" collapsed="false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customFormat="false" ht="15.75" hidden="false" customHeight="false" outlineLevel="0" collapsed="false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customFormat="false" ht="15.75" hidden="false" customHeight="false" outlineLevel="0" collapsed="false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customFormat="false" ht="15.75" hidden="false" customHeight="false" outlineLevel="0" collapsed="false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customFormat="false" ht="15.75" hidden="false" customHeight="false" outlineLevel="0" collapsed="false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customFormat="false" ht="15.75" hidden="false" customHeight="false" outlineLevel="0" collapsed="false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customFormat="false" ht="15.75" hidden="false" customHeight="false" outlineLevel="0" collapsed="false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customFormat="false" ht="15.75" hidden="false" customHeight="false" outlineLevel="0" collapsed="false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customFormat="false" ht="15.75" hidden="false" customHeight="false" outlineLevel="0" collapsed="false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customFormat="false" ht="15.75" hidden="false" customHeight="false" outlineLevel="0" collapsed="false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customFormat="false" ht="15.75" hidden="false" customHeight="false" outlineLevel="0" collapsed="false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customFormat="false" ht="15.75" hidden="false" customHeight="false" outlineLevel="0" collapsed="false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customFormat="false" ht="15.75" hidden="false" customHeight="false" outlineLevel="0" collapsed="false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customFormat="false" ht="15.75" hidden="false" customHeight="false" outlineLevel="0" collapsed="false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customFormat="false" ht="15.75" hidden="false" customHeight="false" outlineLevel="0" collapsed="false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customFormat="false" ht="15.75" hidden="false" customHeight="false" outlineLevel="0" collapsed="false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customFormat="false" ht="15.75" hidden="false" customHeight="false" outlineLevel="0" collapsed="false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customFormat="false" ht="15.75" hidden="false" customHeight="false" outlineLevel="0" collapsed="false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customFormat="false" ht="15.75" hidden="false" customHeight="false" outlineLevel="0" collapsed="false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customFormat="false" ht="15.75" hidden="false" customHeight="false" outlineLevel="0" collapsed="false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customFormat="false" ht="15.75" hidden="false" customHeight="false" outlineLevel="0" collapsed="false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customFormat="false" ht="15.75" hidden="false" customHeight="false" outlineLevel="0" collapsed="false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customFormat="false" ht="15.75" hidden="false" customHeight="false" outlineLevel="0" collapsed="false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customFormat="false" ht="15.75" hidden="false" customHeight="false" outlineLevel="0" collapsed="false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customFormat="false" ht="15.75" hidden="false" customHeight="false" outlineLevel="0" collapsed="false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customFormat="false" ht="15.75" hidden="false" customHeight="false" outlineLevel="0" collapsed="false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customFormat="false" ht="15.75" hidden="false" customHeight="false" outlineLevel="0" collapsed="false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customFormat="false" ht="15.75" hidden="false" customHeight="false" outlineLevel="0" collapsed="false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customFormat="false" ht="15.75" hidden="false" customHeight="false" outlineLevel="0" collapsed="false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customFormat="false" ht="15.75" hidden="false" customHeight="false" outlineLevel="0" collapsed="false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customFormat="false" ht="15.75" hidden="false" customHeight="false" outlineLevel="0" collapsed="false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customFormat="false" ht="15.75" hidden="false" customHeight="false" outlineLevel="0" collapsed="false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customFormat="false" ht="15.75" hidden="false" customHeight="false" outlineLevel="0" collapsed="false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customFormat="false" ht="15.75" hidden="false" customHeight="false" outlineLevel="0" collapsed="false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customFormat="false" ht="15.75" hidden="false" customHeight="false" outlineLevel="0" collapsed="false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customFormat="false" ht="15.75" hidden="false" customHeight="false" outlineLevel="0" collapsed="false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customFormat="false" ht="15.75" hidden="false" customHeight="false" outlineLevel="0" collapsed="false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customFormat="false" ht="15.75" hidden="false" customHeight="false" outlineLevel="0" collapsed="false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customFormat="false" ht="15.75" hidden="false" customHeight="false" outlineLevel="0" collapsed="false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customFormat="false" ht="15.75" hidden="false" customHeight="false" outlineLevel="0" collapsed="false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customFormat="false" ht="15.75" hidden="false" customHeight="false" outlineLevel="0" collapsed="false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customFormat="false" ht="15.75" hidden="false" customHeight="false" outlineLevel="0" collapsed="false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customFormat="false" ht="15.75" hidden="false" customHeight="false" outlineLevel="0" collapsed="false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customFormat="false" ht="15.75" hidden="false" customHeight="false" outlineLevel="0" collapsed="false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customFormat="false" ht="15.75" hidden="false" customHeight="false" outlineLevel="0" collapsed="false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customFormat="false" ht="15.75" hidden="false" customHeight="false" outlineLevel="0" collapsed="false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customFormat="false" ht="15.75" hidden="false" customHeight="false" outlineLevel="0" collapsed="false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customFormat="false" ht="15.75" hidden="false" customHeight="false" outlineLevel="0" collapsed="false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customFormat="false" ht="15.75" hidden="false" customHeight="false" outlineLevel="0" collapsed="false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customFormat="false" ht="15.75" hidden="false" customHeight="false" outlineLevel="0" collapsed="false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customFormat="false" ht="15.75" hidden="false" customHeight="false" outlineLevel="0" collapsed="false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customFormat="false" ht="15.75" hidden="false" customHeight="false" outlineLevel="0" collapsed="false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customFormat="false" ht="15.75" hidden="false" customHeight="false" outlineLevel="0" collapsed="false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customFormat="false" ht="15.75" hidden="false" customHeight="false" outlineLevel="0" collapsed="false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customFormat="false" ht="15.75" hidden="false" customHeight="false" outlineLevel="0" collapsed="false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customFormat="false" ht="15.75" hidden="false" customHeight="false" outlineLevel="0" collapsed="false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customFormat="false" ht="15.75" hidden="false" customHeight="false" outlineLevel="0" collapsed="false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customFormat="false" ht="15.75" hidden="false" customHeight="false" outlineLevel="0" collapsed="false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customFormat="false" ht="15.75" hidden="false" customHeight="false" outlineLevel="0" collapsed="false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customFormat="false" ht="15.75" hidden="false" customHeight="false" outlineLevel="0" collapsed="false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customFormat="false" ht="15.75" hidden="false" customHeight="false" outlineLevel="0" collapsed="false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customFormat="false" ht="15.75" hidden="false" customHeight="false" outlineLevel="0" collapsed="false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customFormat="false" ht="15.75" hidden="false" customHeight="false" outlineLevel="0" collapsed="false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customFormat="false" ht="15.75" hidden="false" customHeight="false" outlineLevel="0" collapsed="false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customFormat="false" ht="15.75" hidden="false" customHeight="false" outlineLevel="0" collapsed="false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customFormat="false" ht="15.75" hidden="false" customHeight="false" outlineLevel="0" collapsed="false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customFormat="false" ht="15.75" hidden="false" customHeight="false" outlineLevel="0" collapsed="false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customFormat="false" ht="15.75" hidden="false" customHeight="false" outlineLevel="0" collapsed="false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customFormat="false" ht="15.75" hidden="false" customHeight="false" outlineLevel="0" collapsed="false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customFormat="false" ht="15.75" hidden="false" customHeight="false" outlineLevel="0" collapsed="false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customFormat="false" ht="15.75" hidden="false" customHeight="false" outlineLevel="0" collapsed="false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customFormat="false" ht="15.75" hidden="false" customHeight="false" outlineLevel="0" collapsed="false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customFormat="false" ht="15.75" hidden="false" customHeight="false" outlineLevel="0" collapsed="false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customFormat="false" ht="15.75" hidden="false" customHeight="false" outlineLevel="0" collapsed="false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customFormat="false" ht="15.75" hidden="false" customHeight="false" outlineLevel="0" collapsed="false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customFormat="false" ht="15.75" hidden="false" customHeight="false" outlineLevel="0" collapsed="false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customFormat="false" ht="15.75" hidden="false" customHeight="false" outlineLevel="0" collapsed="false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customFormat="false" ht="15.75" hidden="false" customHeight="false" outlineLevel="0" collapsed="false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customFormat="false" ht="15.75" hidden="false" customHeight="false" outlineLevel="0" collapsed="false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customFormat="false" ht="15.75" hidden="false" customHeight="false" outlineLevel="0" collapsed="false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customFormat="false" ht="15.75" hidden="false" customHeight="false" outlineLevel="0" collapsed="false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customFormat="false" ht="15.75" hidden="false" customHeight="false" outlineLevel="0" collapsed="false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customFormat="false" ht="15.75" hidden="false" customHeight="false" outlineLevel="0" collapsed="false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customFormat="false" ht="15.75" hidden="false" customHeight="false" outlineLevel="0" collapsed="false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customFormat="false" ht="15.75" hidden="false" customHeight="false" outlineLevel="0" collapsed="false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customFormat="false" ht="15.75" hidden="false" customHeight="false" outlineLevel="0" collapsed="false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customFormat="false" ht="15.75" hidden="false" customHeight="false" outlineLevel="0" collapsed="false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customFormat="false" ht="15.75" hidden="false" customHeight="false" outlineLevel="0" collapsed="false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customFormat="false" ht="15.75" hidden="false" customHeight="false" outlineLevel="0" collapsed="false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customFormat="false" ht="15.75" hidden="false" customHeight="false" outlineLevel="0" collapsed="false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customFormat="false" ht="15.75" hidden="false" customHeight="false" outlineLevel="0" collapsed="false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customFormat="false" ht="15.75" hidden="false" customHeight="false" outlineLevel="0" collapsed="false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customFormat="false" ht="15.75" hidden="false" customHeight="false" outlineLevel="0" collapsed="false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customFormat="false" ht="15.75" hidden="false" customHeight="false" outlineLevel="0" collapsed="false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customFormat="false" ht="15.75" hidden="false" customHeight="false" outlineLevel="0" collapsed="false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customFormat="false" ht="15.75" hidden="false" customHeight="false" outlineLevel="0" collapsed="false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customFormat="false" ht="15.75" hidden="false" customHeight="false" outlineLevel="0" collapsed="false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customFormat="false" ht="15.75" hidden="false" customHeight="false" outlineLevel="0" collapsed="false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customFormat="false" ht="15.75" hidden="false" customHeight="false" outlineLevel="0" collapsed="false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customFormat="false" ht="15.75" hidden="false" customHeight="false" outlineLevel="0" collapsed="false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customFormat="false" ht="15.75" hidden="false" customHeight="false" outlineLevel="0" collapsed="false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customFormat="false" ht="15.75" hidden="false" customHeight="false" outlineLevel="0" collapsed="false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customFormat="false" ht="15.75" hidden="false" customHeight="false" outlineLevel="0" collapsed="false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customFormat="false" ht="15.75" hidden="false" customHeight="false" outlineLevel="0" collapsed="false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customFormat="false" ht="15.75" hidden="false" customHeight="false" outlineLevel="0" collapsed="false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customFormat="false" ht="15.75" hidden="false" customHeight="false" outlineLevel="0" collapsed="false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customFormat="false" ht="15.75" hidden="false" customHeight="false" outlineLevel="0" collapsed="false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customFormat="false" ht="15.75" hidden="false" customHeight="false" outlineLevel="0" collapsed="false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customFormat="false" ht="15.75" hidden="false" customHeight="false" outlineLevel="0" collapsed="false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customFormat="false" ht="15.75" hidden="false" customHeight="false" outlineLevel="0" collapsed="false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customFormat="false" ht="15.75" hidden="false" customHeight="false" outlineLevel="0" collapsed="false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customFormat="false" ht="15.75" hidden="false" customHeight="false" outlineLevel="0" collapsed="false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customFormat="false" ht="15.75" hidden="false" customHeight="false" outlineLevel="0" collapsed="false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customFormat="false" ht="15.75" hidden="false" customHeight="false" outlineLevel="0" collapsed="false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customFormat="false" ht="15.75" hidden="false" customHeight="false" outlineLevel="0" collapsed="false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customFormat="false" ht="15.75" hidden="false" customHeight="false" outlineLevel="0" collapsed="false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customFormat="false" ht="15.75" hidden="false" customHeight="false" outlineLevel="0" collapsed="false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customFormat="false" ht="15.75" hidden="false" customHeight="false" outlineLevel="0" collapsed="false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customFormat="false" ht="15.75" hidden="false" customHeight="false" outlineLevel="0" collapsed="false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customFormat="false" ht="15.75" hidden="false" customHeight="false" outlineLevel="0" collapsed="false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customFormat="false" ht="15.75" hidden="false" customHeight="false" outlineLevel="0" collapsed="false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customFormat="false" ht="15.75" hidden="false" customHeight="false" outlineLevel="0" collapsed="false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customFormat="false" ht="15.75" hidden="false" customHeight="false" outlineLevel="0" collapsed="false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customFormat="false" ht="15.75" hidden="false" customHeight="false" outlineLevel="0" collapsed="false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customFormat="false" ht="15.75" hidden="false" customHeight="false" outlineLevel="0" collapsed="false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customFormat="false" ht="15.75" hidden="false" customHeight="false" outlineLevel="0" collapsed="false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customFormat="false" ht="15.75" hidden="false" customHeight="false" outlineLevel="0" collapsed="false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customFormat="false" ht="15.75" hidden="false" customHeight="false" outlineLevel="0" collapsed="false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customFormat="false" ht="15.75" hidden="false" customHeight="false" outlineLevel="0" collapsed="false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customFormat="false" ht="15.75" hidden="false" customHeight="false" outlineLevel="0" collapsed="false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customFormat="false" ht="15.75" hidden="false" customHeight="false" outlineLevel="0" collapsed="false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customFormat="false" ht="15.75" hidden="false" customHeight="false" outlineLevel="0" collapsed="false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customFormat="false" ht="15.75" hidden="false" customHeight="false" outlineLevel="0" collapsed="false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customFormat="false" ht="15.75" hidden="false" customHeight="false" outlineLevel="0" collapsed="false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customFormat="false" ht="15.75" hidden="false" customHeight="false" outlineLevel="0" collapsed="false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customFormat="false" ht="15.75" hidden="false" customHeight="false" outlineLevel="0" collapsed="false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customFormat="false" ht="15.75" hidden="false" customHeight="false" outlineLevel="0" collapsed="false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customFormat="false" ht="15.75" hidden="false" customHeight="false" outlineLevel="0" collapsed="false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customFormat="false" ht="15.75" hidden="false" customHeight="false" outlineLevel="0" collapsed="false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customFormat="false" ht="15.75" hidden="false" customHeight="false" outlineLevel="0" collapsed="false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customFormat="false" ht="15.75" hidden="false" customHeight="false" outlineLevel="0" collapsed="false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customFormat="false" ht="15.75" hidden="false" customHeight="false" outlineLevel="0" collapsed="false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customFormat="false" ht="15.75" hidden="false" customHeight="false" outlineLevel="0" collapsed="false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customFormat="false" ht="15.75" hidden="false" customHeight="false" outlineLevel="0" collapsed="false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customFormat="false" ht="15.75" hidden="false" customHeight="false" outlineLevel="0" collapsed="false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customFormat="false" ht="15.75" hidden="false" customHeight="false" outlineLevel="0" collapsed="false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customFormat="false" ht="15.75" hidden="false" customHeight="false" outlineLevel="0" collapsed="false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customFormat="false" ht="15.75" hidden="false" customHeight="false" outlineLevel="0" collapsed="false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customFormat="false" ht="15.75" hidden="false" customHeight="false" outlineLevel="0" collapsed="false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customFormat="false" ht="15.75" hidden="false" customHeight="false" outlineLevel="0" collapsed="false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customFormat="false" ht="15.75" hidden="false" customHeight="false" outlineLevel="0" collapsed="false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customFormat="false" ht="15.75" hidden="false" customHeight="false" outlineLevel="0" collapsed="false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customFormat="false" ht="15.75" hidden="false" customHeight="false" outlineLevel="0" collapsed="false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customFormat="false" ht="15.75" hidden="false" customHeight="false" outlineLevel="0" collapsed="false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customFormat="false" ht="15.75" hidden="false" customHeight="false" outlineLevel="0" collapsed="false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customFormat="false" ht="15.75" hidden="false" customHeight="false" outlineLevel="0" collapsed="false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customFormat="false" ht="15.75" hidden="false" customHeight="false" outlineLevel="0" collapsed="false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customFormat="false" ht="15.75" hidden="false" customHeight="false" outlineLevel="0" collapsed="false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customFormat="false" ht="15.75" hidden="false" customHeight="false" outlineLevel="0" collapsed="false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customFormat="false" ht="15.75" hidden="false" customHeight="false" outlineLevel="0" collapsed="false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customFormat="false" ht="15.75" hidden="false" customHeight="false" outlineLevel="0" collapsed="false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customFormat="false" ht="15.75" hidden="false" customHeight="false" outlineLevel="0" collapsed="false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customFormat="false" ht="15.75" hidden="false" customHeight="false" outlineLevel="0" collapsed="false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customFormat="false" ht="15.75" hidden="false" customHeight="false" outlineLevel="0" collapsed="false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customFormat="false" ht="15.75" hidden="false" customHeight="false" outlineLevel="0" collapsed="false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customFormat="false" ht="15.75" hidden="false" customHeight="false" outlineLevel="0" collapsed="false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customFormat="false" ht="15.75" hidden="false" customHeight="false" outlineLevel="0" collapsed="false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customFormat="false" ht="15.75" hidden="false" customHeight="false" outlineLevel="0" collapsed="false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customFormat="false" ht="15.75" hidden="false" customHeight="false" outlineLevel="0" collapsed="false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customFormat="false" ht="15.75" hidden="false" customHeight="false" outlineLevel="0" collapsed="false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customFormat="false" ht="15.75" hidden="false" customHeight="false" outlineLevel="0" collapsed="false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customFormat="false" ht="15.75" hidden="false" customHeight="false" outlineLevel="0" collapsed="false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customFormat="false" ht="15.75" hidden="false" customHeight="false" outlineLevel="0" collapsed="false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customFormat="false" ht="15.75" hidden="false" customHeight="false" outlineLevel="0" collapsed="false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customFormat="false" ht="15.75" hidden="false" customHeight="false" outlineLevel="0" collapsed="false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customFormat="false" ht="15.75" hidden="false" customHeight="false" outlineLevel="0" collapsed="false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customFormat="false" ht="15.75" hidden="false" customHeight="false" outlineLevel="0" collapsed="false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customFormat="false" ht="15.75" hidden="false" customHeight="false" outlineLevel="0" collapsed="false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customFormat="false" ht="15.75" hidden="false" customHeight="false" outlineLevel="0" collapsed="false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customFormat="false" ht="15.75" hidden="false" customHeight="false" outlineLevel="0" collapsed="false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customFormat="false" ht="15.75" hidden="false" customHeight="false" outlineLevel="0" collapsed="false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customFormat="false" ht="15.75" hidden="false" customHeight="false" outlineLevel="0" collapsed="false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customFormat="false" ht="15.75" hidden="false" customHeight="false" outlineLevel="0" collapsed="false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customFormat="false" ht="15.75" hidden="false" customHeight="false" outlineLevel="0" collapsed="false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customFormat="false" ht="15.75" hidden="false" customHeight="false" outlineLevel="0" collapsed="false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customFormat="false" ht="15.75" hidden="false" customHeight="false" outlineLevel="0" collapsed="false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customFormat="false" ht="15.75" hidden="false" customHeight="false" outlineLevel="0" collapsed="false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customFormat="false" ht="15.75" hidden="false" customHeight="false" outlineLevel="0" collapsed="false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customFormat="false" ht="15.75" hidden="false" customHeight="false" outlineLevel="0" collapsed="false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customFormat="false" ht="15.75" hidden="false" customHeight="false" outlineLevel="0" collapsed="false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customFormat="false" ht="15.75" hidden="false" customHeight="false" outlineLevel="0" collapsed="false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customFormat="false" ht="15.75" hidden="false" customHeight="false" outlineLevel="0" collapsed="false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customFormat="false" ht="15.75" hidden="false" customHeight="false" outlineLevel="0" collapsed="false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customFormat="false" ht="15.75" hidden="false" customHeight="false" outlineLevel="0" collapsed="false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customFormat="false" ht="15.75" hidden="false" customHeight="false" outlineLevel="0" collapsed="false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customFormat="false" ht="15.75" hidden="false" customHeight="false" outlineLevel="0" collapsed="false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customFormat="false" ht="15.75" hidden="false" customHeight="false" outlineLevel="0" collapsed="false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customFormat="false" ht="15.75" hidden="false" customHeight="false" outlineLevel="0" collapsed="false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customFormat="false" ht="15.75" hidden="false" customHeight="false" outlineLevel="0" collapsed="false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customFormat="false" ht="15.75" hidden="false" customHeight="false" outlineLevel="0" collapsed="false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customFormat="false" ht="15.75" hidden="false" customHeight="false" outlineLevel="0" collapsed="false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customFormat="false" ht="15.75" hidden="false" customHeight="false" outlineLevel="0" collapsed="false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customFormat="false" ht="15.75" hidden="false" customHeight="false" outlineLevel="0" collapsed="false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customFormat="false" ht="15.75" hidden="false" customHeight="false" outlineLevel="0" collapsed="false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customFormat="false" ht="15.75" hidden="false" customHeight="false" outlineLevel="0" collapsed="false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customFormat="false" ht="15.75" hidden="false" customHeight="false" outlineLevel="0" collapsed="false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customFormat="false" ht="15.75" hidden="false" customHeight="false" outlineLevel="0" collapsed="false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customFormat="false" ht="15.75" hidden="false" customHeight="false" outlineLevel="0" collapsed="false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customFormat="false" ht="15.75" hidden="false" customHeight="false" outlineLevel="0" collapsed="false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customFormat="false" ht="15.75" hidden="false" customHeight="false" outlineLevel="0" collapsed="false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customFormat="false" ht="15.75" hidden="false" customHeight="false" outlineLevel="0" collapsed="false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customFormat="false" ht="15.75" hidden="false" customHeight="false" outlineLevel="0" collapsed="false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customFormat="false" ht="15.75" hidden="false" customHeight="false" outlineLevel="0" collapsed="false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customFormat="false" ht="15.75" hidden="false" customHeight="false" outlineLevel="0" collapsed="false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customFormat="false" ht="15.75" hidden="false" customHeight="false" outlineLevel="0" collapsed="false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customFormat="false" ht="15.75" hidden="false" customHeight="false" outlineLevel="0" collapsed="false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customFormat="false" ht="15.75" hidden="false" customHeight="false" outlineLevel="0" collapsed="false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customFormat="false" ht="15.75" hidden="false" customHeight="false" outlineLevel="0" collapsed="false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customFormat="false" ht="15.75" hidden="false" customHeight="false" outlineLevel="0" collapsed="false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customFormat="false" ht="15.75" hidden="false" customHeight="false" outlineLevel="0" collapsed="false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customFormat="false" ht="15.75" hidden="false" customHeight="false" outlineLevel="0" collapsed="false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customFormat="false" ht="15.75" hidden="false" customHeight="false" outlineLevel="0" collapsed="false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customFormat="false" ht="15.75" hidden="false" customHeight="false" outlineLevel="0" collapsed="false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customFormat="false" ht="15.75" hidden="false" customHeight="false" outlineLevel="0" collapsed="false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customFormat="false" ht="15.75" hidden="false" customHeight="false" outlineLevel="0" collapsed="false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customFormat="false" ht="15.75" hidden="false" customHeight="false" outlineLevel="0" collapsed="false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customFormat="false" ht="15.75" hidden="false" customHeight="false" outlineLevel="0" collapsed="false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customFormat="false" ht="15.75" hidden="false" customHeight="false" outlineLevel="0" collapsed="false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customFormat="false" ht="15.75" hidden="false" customHeight="false" outlineLevel="0" collapsed="false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customFormat="false" ht="15.75" hidden="false" customHeight="false" outlineLevel="0" collapsed="false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customFormat="false" ht="15.75" hidden="false" customHeight="false" outlineLevel="0" collapsed="false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customFormat="false" ht="15.75" hidden="false" customHeight="false" outlineLevel="0" collapsed="false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customFormat="false" ht="15.75" hidden="false" customHeight="false" outlineLevel="0" collapsed="false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customFormat="false" ht="15.75" hidden="false" customHeight="false" outlineLevel="0" collapsed="false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customFormat="false" ht="15.75" hidden="false" customHeight="false" outlineLevel="0" collapsed="false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customFormat="false" ht="15.75" hidden="false" customHeight="false" outlineLevel="0" collapsed="false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customFormat="false" ht="15.75" hidden="false" customHeight="false" outlineLevel="0" collapsed="false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customFormat="false" ht="15.75" hidden="false" customHeight="false" outlineLevel="0" collapsed="false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customFormat="false" ht="15.75" hidden="false" customHeight="false" outlineLevel="0" collapsed="false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customFormat="false" ht="15.75" hidden="false" customHeight="false" outlineLevel="0" collapsed="false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customFormat="false" ht="15.75" hidden="false" customHeight="false" outlineLevel="0" collapsed="false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customFormat="false" ht="15.75" hidden="false" customHeight="false" outlineLevel="0" collapsed="false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customFormat="false" ht="15.75" hidden="false" customHeight="false" outlineLevel="0" collapsed="false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customFormat="false" ht="15.75" hidden="false" customHeight="false" outlineLevel="0" collapsed="false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customFormat="false" ht="15.75" hidden="false" customHeight="false" outlineLevel="0" collapsed="false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customFormat="false" ht="15.75" hidden="false" customHeight="false" outlineLevel="0" collapsed="false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customFormat="false" ht="15.75" hidden="false" customHeight="false" outlineLevel="0" collapsed="false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customFormat="false" ht="15.75" hidden="false" customHeight="false" outlineLevel="0" collapsed="false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customFormat="false" ht="15.75" hidden="false" customHeight="false" outlineLevel="0" collapsed="false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customFormat="false" ht="15.75" hidden="false" customHeight="false" outlineLevel="0" collapsed="false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customFormat="false" ht="15.75" hidden="false" customHeight="false" outlineLevel="0" collapsed="false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customFormat="false" ht="15.75" hidden="false" customHeight="false" outlineLevel="0" collapsed="false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customFormat="false" ht="15.75" hidden="false" customHeight="false" outlineLevel="0" collapsed="false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customFormat="false" ht="15.75" hidden="false" customHeight="false" outlineLevel="0" collapsed="false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customFormat="false" ht="15.75" hidden="false" customHeight="false" outlineLevel="0" collapsed="false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customFormat="false" ht="15.75" hidden="false" customHeight="false" outlineLevel="0" collapsed="false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customFormat="false" ht="15.75" hidden="false" customHeight="false" outlineLevel="0" collapsed="false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customFormat="false" ht="15.75" hidden="false" customHeight="false" outlineLevel="0" collapsed="false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customFormat="false" ht="15.75" hidden="false" customHeight="false" outlineLevel="0" collapsed="false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customFormat="false" ht="15.75" hidden="false" customHeight="false" outlineLevel="0" collapsed="false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customFormat="false" ht="15.75" hidden="false" customHeight="false" outlineLevel="0" collapsed="false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customFormat="false" ht="15.75" hidden="false" customHeight="false" outlineLevel="0" collapsed="false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customFormat="false" ht="15.75" hidden="false" customHeight="false" outlineLevel="0" collapsed="false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customFormat="false" ht="15.75" hidden="false" customHeight="false" outlineLevel="0" collapsed="false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customFormat="false" ht="15.75" hidden="false" customHeight="false" outlineLevel="0" collapsed="false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customFormat="false" ht="15.75" hidden="false" customHeight="false" outlineLevel="0" collapsed="false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customFormat="false" ht="15.75" hidden="false" customHeight="false" outlineLevel="0" collapsed="false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customFormat="false" ht="15.75" hidden="false" customHeight="false" outlineLevel="0" collapsed="false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customFormat="false" ht="15.75" hidden="false" customHeight="false" outlineLevel="0" collapsed="false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customFormat="false" ht="15.75" hidden="false" customHeight="false" outlineLevel="0" collapsed="false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customFormat="false" ht="15.75" hidden="false" customHeight="false" outlineLevel="0" collapsed="false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customFormat="false" ht="15.75" hidden="false" customHeight="false" outlineLevel="0" collapsed="false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customFormat="false" ht="15.75" hidden="false" customHeight="false" outlineLevel="0" collapsed="false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customFormat="false" ht="15.75" hidden="false" customHeight="false" outlineLevel="0" collapsed="false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customFormat="false" ht="15.75" hidden="false" customHeight="false" outlineLevel="0" collapsed="false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customFormat="false" ht="15.75" hidden="false" customHeight="false" outlineLevel="0" collapsed="false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customFormat="false" ht="15.75" hidden="false" customHeight="false" outlineLevel="0" collapsed="false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customFormat="false" ht="15.75" hidden="false" customHeight="false" outlineLevel="0" collapsed="false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customFormat="false" ht="15.75" hidden="false" customHeight="false" outlineLevel="0" collapsed="false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customFormat="false" ht="15.75" hidden="false" customHeight="false" outlineLevel="0" collapsed="false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customFormat="false" ht="15.75" hidden="false" customHeight="false" outlineLevel="0" collapsed="false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customFormat="false" ht="15.75" hidden="false" customHeight="false" outlineLevel="0" collapsed="false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customFormat="false" ht="15.75" hidden="false" customHeight="false" outlineLevel="0" collapsed="false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customFormat="false" ht="15.75" hidden="false" customHeight="false" outlineLevel="0" collapsed="false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customFormat="false" ht="15.75" hidden="false" customHeight="false" outlineLevel="0" collapsed="false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customFormat="false" ht="15.75" hidden="false" customHeight="false" outlineLevel="0" collapsed="false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customFormat="false" ht="15.75" hidden="false" customHeight="false" outlineLevel="0" collapsed="false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customFormat="false" ht="15.75" hidden="false" customHeight="false" outlineLevel="0" collapsed="false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customFormat="false" ht="15.75" hidden="false" customHeight="false" outlineLevel="0" collapsed="false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customFormat="false" ht="15.75" hidden="false" customHeight="false" outlineLevel="0" collapsed="false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customFormat="false" ht="15.75" hidden="false" customHeight="false" outlineLevel="0" collapsed="false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customFormat="false" ht="15.75" hidden="false" customHeight="false" outlineLevel="0" collapsed="false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customFormat="false" ht="15.75" hidden="false" customHeight="false" outlineLevel="0" collapsed="false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customFormat="false" ht="15.75" hidden="false" customHeight="false" outlineLevel="0" collapsed="false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customFormat="false" ht="15.75" hidden="false" customHeight="false" outlineLevel="0" collapsed="false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customFormat="false" ht="15.75" hidden="false" customHeight="false" outlineLevel="0" collapsed="false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customFormat="false" ht="15.75" hidden="false" customHeight="false" outlineLevel="0" collapsed="false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customFormat="false" ht="15.75" hidden="false" customHeight="false" outlineLevel="0" collapsed="false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customFormat="false" ht="15.75" hidden="false" customHeight="false" outlineLevel="0" collapsed="false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customFormat="false" ht="15.75" hidden="false" customHeight="false" outlineLevel="0" collapsed="false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customFormat="false" ht="15.75" hidden="false" customHeight="false" outlineLevel="0" collapsed="false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customFormat="false" ht="15.75" hidden="false" customHeight="false" outlineLevel="0" collapsed="false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customFormat="false" ht="15.75" hidden="false" customHeight="false" outlineLevel="0" collapsed="false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customFormat="false" ht="15.75" hidden="false" customHeight="false" outlineLevel="0" collapsed="false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customFormat="false" ht="15.75" hidden="false" customHeight="false" outlineLevel="0" collapsed="false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customFormat="false" ht="15.75" hidden="false" customHeight="false" outlineLevel="0" collapsed="false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customFormat="false" ht="15.75" hidden="false" customHeight="false" outlineLevel="0" collapsed="false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customFormat="false" ht="15.75" hidden="false" customHeight="false" outlineLevel="0" collapsed="false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customFormat="false" ht="15.75" hidden="false" customHeight="false" outlineLevel="0" collapsed="false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customFormat="false" ht="15.75" hidden="false" customHeight="false" outlineLevel="0" collapsed="false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customFormat="false" ht="15.75" hidden="false" customHeight="false" outlineLevel="0" collapsed="false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customFormat="false" ht="15.75" hidden="false" customHeight="false" outlineLevel="0" collapsed="false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customFormat="false" ht="15.75" hidden="false" customHeight="false" outlineLevel="0" collapsed="false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customFormat="false" ht="15.75" hidden="false" customHeight="false" outlineLevel="0" collapsed="false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customFormat="false" ht="15.75" hidden="false" customHeight="false" outlineLevel="0" collapsed="false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customFormat="false" ht="15.75" hidden="false" customHeight="false" outlineLevel="0" collapsed="false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customFormat="false" ht="15.75" hidden="false" customHeight="false" outlineLevel="0" collapsed="false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customFormat="false" ht="15.75" hidden="false" customHeight="false" outlineLevel="0" collapsed="false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customFormat="false" ht="15.75" hidden="false" customHeight="false" outlineLevel="0" collapsed="false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customFormat="false" ht="15.75" hidden="false" customHeight="false" outlineLevel="0" collapsed="false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customFormat="false" ht="15.75" hidden="false" customHeight="false" outlineLevel="0" collapsed="false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customFormat="false" ht="15.75" hidden="false" customHeight="false" outlineLevel="0" collapsed="false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customFormat="false" ht="15.75" hidden="false" customHeight="false" outlineLevel="0" collapsed="false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customFormat="false" ht="15.75" hidden="false" customHeight="false" outlineLevel="0" collapsed="false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customFormat="false" ht="15.75" hidden="false" customHeight="false" outlineLevel="0" collapsed="false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customFormat="false" ht="15.75" hidden="false" customHeight="false" outlineLevel="0" collapsed="false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customFormat="false" ht="15.75" hidden="false" customHeight="false" outlineLevel="0" collapsed="false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customFormat="false" ht="15.75" hidden="false" customHeight="false" outlineLevel="0" collapsed="false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customFormat="false" ht="15.75" hidden="false" customHeight="false" outlineLevel="0" collapsed="false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customFormat="false" ht="15.75" hidden="false" customHeight="false" outlineLevel="0" collapsed="false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customFormat="false" ht="15.75" hidden="false" customHeight="false" outlineLevel="0" collapsed="false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customFormat="false" ht="15.75" hidden="false" customHeight="false" outlineLevel="0" collapsed="false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customFormat="false" ht="15.75" hidden="false" customHeight="false" outlineLevel="0" collapsed="false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customFormat="false" ht="15.75" hidden="false" customHeight="false" outlineLevel="0" collapsed="false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customFormat="false" ht="15.75" hidden="false" customHeight="false" outlineLevel="0" collapsed="false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customFormat="false" ht="15.75" hidden="false" customHeight="false" outlineLevel="0" collapsed="false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customFormat="false" ht="15.75" hidden="false" customHeight="false" outlineLevel="0" collapsed="false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customFormat="false" ht="15.75" hidden="false" customHeight="false" outlineLevel="0" collapsed="false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customFormat="false" ht="15.75" hidden="false" customHeight="false" outlineLevel="0" collapsed="false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customFormat="false" ht="15.75" hidden="false" customHeight="false" outlineLevel="0" collapsed="false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customFormat="false" ht="15.75" hidden="false" customHeight="false" outlineLevel="0" collapsed="false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customFormat="false" ht="15.75" hidden="false" customHeight="false" outlineLevel="0" collapsed="false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customFormat="false" ht="15.75" hidden="false" customHeight="false" outlineLevel="0" collapsed="false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customFormat="false" ht="15.75" hidden="false" customHeight="false" outlineLevel="0" collapsed="false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customFormat="false" ht="15.75" hidden="false" customHeight="false" outlineLevel="0" collapsed="false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customFormat="false" ht="15.75" hidden="false" customHeight="false" outlineLevel="0" collapsed="false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customFormat="false" ht="15.75" hidden="false" customHeight="false" outlineLevel="0" collapsed="false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customFormat="false" ht="15.75" hidden="false" customHeight="false" outlineLevel="0" collapsed="false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customFormat="false" ht="15.75" hidden="false" customHeight="false" outlineLevel="0" collapsed="false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customFormat="false" ht="15.75" hidden="false" customHeight="false" outlineLevel="0" collapsed="false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customFormat="false" ht="15.75" hidden="false" customHeight="false" outlineLevel="0" collapsed="false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customFormat="false" ht="15.75" hidden="false" customHeight="false" outlineLevel="0" collapsed="false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customFormat="false" ht="15.75" hidden="false" customHeight="false" outlineLevel="0" collapsed="false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customFormat="false" ht="15.75" hidden="false" customHeight="false" outlineLevel="0" collapsed="false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customFormat="false" ht="15.75" hidden="false" customHeight="false" outlineLevel="0" collapsed="false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customFormat="false" ht="15.75" hidden="false" customHeight="false" outlineLevel="0" collapsed="false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customFormat="false" ht="15.75" hidden="false" customHeight="false" outlineLevel="0" collapsed="false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customFormat="false" ht="15.75" hidden="false" customHeight="false" outlineLevel="0" collapsed="false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customFormat="false" ht="15.75" hidden="false" customHeight="false" outlineLevel="0" collapsed="false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customFormat="false" ht="15.75" hidden="false" customHeight="false" outlineLevel="0" collapsed="false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customFormat="false" ht="15.75" hidden="false" customHeight="false" outlineLevel="0" collapsed="false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customFormat="false" ht="15.75" hidden="false" customHeight="false" outlineLevel="0" collapsed="false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customFormat="false" ht="15.75" hidden="false" customHeight="false" outlineLevel="0" collapsed="false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customFormat="false" ht="15.75" hidden="false" customHeight="false" outlineLevel="0" collapsed="false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customFormat="false" ht="15.75" hidden="false" customHeight="false" outlineLevel="0" collapsed="false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customFormat="false" ht="15.75" hidden="false" customHeight="false" outlineLevel="0" collapsed="false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customFormat="false" ht="15.75" hidden="false" customHeight="false" outlineLevel="0" collapsed="false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customFormat="false" ht="15.75" hidden="false" customHeight="false" outlineLevel="0" collapsed="false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customFormat="false" ht="15.75" hidden="false" customHeight="false" outlineLevel="0" collapsed="false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customFormat="false" ht="15.75" hidden="false" customHeight="false" outlineLevel="0" collapsed="false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customFormat="false" ht="15.75" hidden="false" customHeight="false" outlineLevel="0" collapsed="false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customFormat="false" ht="15.75" hidden="false" customHeight="false" outlineLevel="0" collapsed="false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customFormat="false" ht="15.75" hidden="false" customHeight="false" outlineLevel="0" collapsed="false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customFormat="false" ht="15.75" hidden="false" customHeight="false" outlineLevel="0" collapsed="false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customFormat="false" ht="15.75" hidden="false" customHeight="false" outlineLevel="0" collapsed="false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customFormat="false" ht="15.75" hidden="false" customHeight="false" outlineLevel="0" collapsed="false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customFormat="false" ht="15.75" hidden="false" customHeight="false" outlineLevel="0" collapsed="false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customFormat="false" ht="15.75" hidden="false" customHeight="false" outlineLevel="0" collapsed="false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customFormat="false" ht="15.75" hidden="false" customHeight="false" outlineLevel="0" collapsed="false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customFormat="false" ht="15.75" hidden="false" customHeight="false" outlineLevel="0" collapsed="false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customFormat="false" ht="15.75" hidden="false" customHeight="false" outlineLevel="0" collapsed="false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customFormat="false" ht="15.75" hidden="false" customHeight="false" outlineLevel="0" collapsed="false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customFormat="false" ht="15.75" hidden="false" customHeight="false" outlineLevel="0" collapsed="false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customFormat="false" ht="15.75" hidden="false" customHeight="false" outlineLevel="0" collapsed="false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customFormat="false" ht="15.75" hidden="false" customHeight="false" outlineLevel="0" collapsed="false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customFormat="false" ht="15.75" hidden="false" customHeight="false" outlineLevel="0" collapsed="false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customFormat="false" ht="15.75" hidden="false" customHeight="false" outlineLevel="0" collapsed="false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customFormat="false" ht="15.75" hidden="false" customHeight="false" outlineLevel="0" collapsed="false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customFormat="false" ht="15.75" hidden="false" customHeight="false" outlineLevel="0" collapsed="false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customFormat="false" ht="15.75" hidden="false" customHeight="false" outlineLevel="0" collapsed="false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customFormat="false" ht="15.75" hidden="false" customHeight="false" outlineLevel="0" collapsed="false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customFormat="false" ht="15.75" hidden="false" customHeight="false" outlineLevel="0" collapsed="false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customFormat="false" ht="15.75" hidden="false" customHeight="false" outlineLevel="0" collapsed="false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customFormat="false" ht="15.75" hidden="false" customHeight="false" outlineLevel="0" collapsed="false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customFormat="false" ht="15.75" hidden="false" customHeight="false" outlineLevel="0" collapsed="false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customFormat="false" ht="15.75" hidden="false" customHeight="false" outlineLevel="0" collapsed="false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customFormat="false" ht="15.75" hidden="false" customHeight="false" outlineLevel="0" collapsed="false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customFormat="false" ht="15.75" hidden="false" customHeight="false" outlineLevel="0" collapsed="false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customFormat="false" ht="15.75" hidden="false" customHeight="false" outlineLevel="0" collapsed="false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customFormat="false" ht="15.75" hidden="false" customHeight="false" outlineLevel="0" collapsed="false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customFormat="false" ht="15.75" hidden="false" customHeight="false" outlineLevel="0" collapsed="false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customFormat="false" ht="15.75" hidden="false" customHeight="false" outlineLevel="0" collapsed="false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customFormat="false" ht="15.75" hidden="false" customHeight="false" outlineLevel="0" collapsed="false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customFormat="false" ht="15.75" hidden="false" customHeight="false" outlineLevel="0" collapsed="false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customFormat="false" ht="15.75" hidden="false" customHeight="false" outlineLevel="0" collapsed="false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customFormat="false" ht="15.75" hidden="false" customHeight="false" outlineLevel="0" collapsed="false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customFormat="false" ht="15.75" hidden="false" customHeight="false" outlineLevel="0" collapsed="false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customFormat="false" ht="15.75" hidden="false" customHeight="false" outlineLevel="0" collapsed="false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customFormat="false" ht="15.75" hidden="false" customHeight="false" outlineLevel="0" collapsed="false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customFormat="false" ht="15.75" hidden="false" customHeight="false" outlineLevel="0" collapsed="false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customFormat="false" ht="15.75" hidden="false" customHeight="false" outlineLevel="0" collapsed="false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customFormat="false" ht="15.75" hidden="false" customHeight="false" outlineLevel="0" collapsed="false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customFormat="false" ht="15.75" hidden="false" customHeight="false" outlineLevel="0" collapsed="false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customFormat="false" ht="15.75" hidden="false" customHeight="false" outlineLevel="0" collapsed="false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customFormat="false" ht="15.75" hidden="false" customHeight="false" outlineLevel="0" collapsed="false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customFormat="false" ht="15.75" hidden="false" customHeight="false" outlineLevel="0" collapsed="false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customFormat="false" ht="15.75" hidden="false" customHeight="false" outlineLevel="0" collapsed="false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customFormat="false" ht="15.75" hidden="false" customHeight="false" outlineLevel="0" collapsed="false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customFormat="false" ht="15.75" hidden="false" customHeight="false" outlineLevel="0" collapsed="false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customFormat="false" ht="15.75" hidden="false" customHeight="false" outlineLevel="0" collapsed="false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customFormat="false" ht="15.75" hidden="false" customHeight="false" outlineLevel="0" collapsed="false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customFormat="false" ht="15.75" hidden="false" customHeight="false" outlineLevel="0" collapsed="false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customFormat="false" ht="15.75" hidden="false" customHeight="false" outlineLevel="0" collapsed="false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customFormat="false" ht="15.75" hidden="false" customHeight="false" outlineLevel="0" collapsed="false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customFormat="false" ht="15.75" hidden="false" customHeight="false" outlineLevel="0" collapsed="false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customFormat="false" ht="15.75" hidden="false" customHeight="false" outlineLevel="0" collapsed="false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customFormat="false" ht="15.75" hidden="false" customHeight="false" outlineLevel="0" collapsed="false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customFormat="false" ht="15.75" hidden="false" customHeight="false" outlineLevel="0" collapsed="false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customFormat="false" ht="15.75" hidden="false" customHeight="false" outlineLevel="0" collapsed="false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customFormat="false" ht="15.75" hidden="false" customHeight="false" outlineLevel="0" collapsed="false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customFormat="false" ht="15.75" hidden="false" customHeight="false" outlineLevel="0" collapsed="false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customFormat="false" ht="15.75" hidden="false" customHeight="false" outlineLevel="0" collapsed="false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customFormat="false" ht="15.75" hidden="false" customHeight="false" outlineLevel="0" collapsed="false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customFormat="false" ht="15.75" hidden="false" customHeight="false" outlineLevel="0" collapsed="false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customFormat="false" ht="15.75" hidden="false" customHeight="false" outlineLevel="0" collapsed="false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customFormat="false" ht="15.75" hidden="false" customHeight="false" outlineLevel="0" collapsed="false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customFormat="false" ht="15.75" hidden="false" customHeight="false" outlineLevel="0" collapsed="false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customFormat="false" ht="15.75" hidden="false" customHeight="false" outlineLevel="0" collapsed="false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customFormat="false" ht="15.75" hidden="false" customHeight="false" outlineLevel="0" collapsed="false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customFormat="false" ht="15.75" hidden="false" customHeight="false" outlineLevel="0" collapsed="false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customFormat="false" ht="15.75" hidden="false" customHeight="false" outlineLevel="0" collapsed="false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customFormat="false" ht="15.75" hidden="false" customHeight="false" outlineLevel="0" collapsed="false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customFormat="false" ht="15.75" hidden="false" customHeight="false" outlineLevel="0" collapsed="false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customFormat="false" ht="15.75" hidden="false" customHeight="false" outlineLevel="0" collapsed="false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customFormat="false" ht="15.75" hidden="false" customHeight="false" outlineLevel="0" collapsed="false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customFormat="false" ht="15.75" hidden="false" customHeight="false" outlineLevel="0" collapsed="false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customFormat="false" ht="15.75" hidden="false" customHeight="false" outlineLevel="0" collapsed="false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customFormat="false" ht="15.75" hidden="false" customHeight="false" outlineLevel="0" collapsed="false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customFormat="false" ht="15.75" hidden="false" customHeight="false" outlineLevel="0" collapsed="false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customFormat="false" ht="15.75" hidden="false" customHeight="false" outlineLevel="0" collapsed="false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customFormat="false" ht="15.75" hidden="false" customHeight="false" outlineLevel="0" collapsed="false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customFormat="false" ht="15.75" hidden="false" customHeight="false" outlineLevel="0" collapsed="false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customFormat="false" ht="15.75" hidden="false" customHeight="false" outlineLevel="0" collapsed="false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customFormat="false" ht="15.75" hidden="false" customHeight="false" outlineLevel="0" collapsed="false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customFormat="false" ht="15.75" hidden="false" customHeight="false" outlineLevel="0" collapsed="false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customFormat="false" ht="15.75" hidden="false" customHeight="false" outlineLevel="0" collapsed="false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customFormat="false" ht="15.75" hidden="false" customHeight="false" outlineLevel="0" collapsed="false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customFormat="false" ht="15.75" hidden="false" customHeight="false" outlineLevel="0" collapsed="false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customFormat="false" ht="15.75" hidden="false" customHeight="false" outlineLevel="0" collapsed="false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customFormat="false" ht="15.75" hidden="false" customHeight="false" outlineLevel="0" collapsed="false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customFormat="false" ht="15.75" hidden="false" customHeight="false" outlineLevel="0" collapsed="false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customFormat="false" ht="15.75" hidden="false" customHeight="false" outlineLevel="0" collapsed="false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customFormat="false" ht="15.75" hidden="false" customHeight="false" outlineLevel="0" collapsed="false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customFormat="false" ht="15.75" hidden="false" customHeight="false" outlineLevel="0" collapsed="false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customFormat="false" ht="15.75" hidden="false" customHeight="false" outlineLevel="0" collapsed="false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customFormat="false" ht="15.75" hidden="false" customHeight="false" outlineLevel="0" collapsed="false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customFormat="false" ht="15.75" hidden="false" customHeight="false" outlineLevel="0" collapsed="false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customFormat="false" ht="15.75" hidden="false" customHeight="false" outlineLevel="0" collapsed="false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customFormat="false" ht="15.75" hidden="false" customHeight="false" outlineLevel="0" collapsed="false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customFormat="false" ht="15.75" hidden="false" customHeight="false" outlineLevel="0" collapsed="false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customFormat="false" ht="15.75" hidden="false" customHeight="false" outlineLevel="0" collapsed="false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customFormat="false" ht="15.75" hidden="false" customHeight="false" outlineLevel="0" collapsed="false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customFormat="false" ht="15.75" hidden="false" customHeight="false" outlineLevel="0" collapsed="false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customFormat="false" ht="15.75" hidden="false" customHeight="false" outlineLevel="0" collapsed="false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customFormat="false" ht="15.75" hidden="false" customHeight="false" outlineLevel="0" collapsed="false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customFormat="false" ht="15.75" hidden="false" customHeight="false" outlineLevel="0" collapsed="false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customFormat="false" ht="15.75" hidden="false" customHeight="false" outlineLevel="0" collapsed="false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customFormat="false" ht="15.75" hidden="false" customHeight="false" outlineLevel="0" collapsed="false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customFormat="false" ht="15.75" hidden="false" customHeight="false" outlineLevel="0" collapsed="false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customFormat="false" ht="15.75" hidden="false" customHeight="false" outlineLevel="0" collapsed="false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customFormat="false" ht="15.75" hidden="false" customHeight="false" outlineLevel="0" collapsed="false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customFormat="false" ht="15.75" hidden="false" customHeight="false" outlineLevel="0" collapsed="false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customFormat="false" ht="15.75" hidden="false" customHeight="false" outlineLevel="0" collapsed="false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customFormat="false" ht="15.75" hidden="false" customHeight="false" outlineLevel="0" collapsed="false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customFormat="false" ht="15.75" hidden="false" customHeight="false" outlineLevel="0" collapsed="false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customFormat="false" ht="15.75" hidden="false" customHeight="false" outlineLevel="0" collapsed="false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customFormat="false" ht="15.75" hidden="false" customHeight="false" outlineLevel="0" collapsed="false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customFormat="false" ht="15.75" hidden="false" customHeight="false" outlineLevel="0" collapsed="false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customFormat="false" ht="15.75" hidden="false" customHeight="false" outlineLevel="0" collapsed="false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customFormat="false" ht="15.75" hidden="false" customHeight="false" outlineLevel="0" collapsed="false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customFormat="false" ht="15.75" hidden="false" customHeight="false" outlineLevel="0" collapsed="false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customFormat="false" ht="15.75" hidden="false" customHeight="false" outlineLevel="0" collapsed="false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customFormat="false" ht="15.75" hidden="false" customHeight="false" outlineLevel="0" collapsed="false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customFormat="false" ht="15.75" hidden="false" customHeight="false" outlineLevel="0" collapsed="false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customFormat="false" ht="15.75" hidden="false" customHeight="false" outlineLevel="0" collapsed="false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customFormat="false" ht="15.75" hidden="false" customHeight="false" outlineLevel="0" collapsed="false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customFormat="false" ht="15.75" hidden="false" customHeight="false" outlineLevel="0" collapsed="false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customFormat="false" ht="15.75" hidden="false" customHeight="false" outlineLevel="0" collapsed="false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customFormat="false" ht="15.75" hidden="false" customHeight="false" outlineLevel="0" collapsed="false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customFormat="false" ht="15.75" hidden="false" customHeight="false" outlineLevel="0" collapsed="false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customFormat="false" ht="15.75" hidden="false" customHeight="false" outlineLevel="0" collapsed="false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customFormat="false" ht="15.75" hidden="false" customHeight="false" outlineLevel="0" collapsed="false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customFormat="false" ht="15.75" hidden="false" customHeight="false" outlineLevel="0" collapsed="false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customFormat="false" ht="15.75" hidden="false" customHeight="false" outlineLevel="0" collapsed="false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customFormat="false" ht="15.75" hidden="false" customHeight="false" outlineLevel="0" collapsed="false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customFormat="false" ht="15.75" hidden="false" customHeight="false" outlineLevel="0" collapsed="false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customFormat="false" ht="15.75" hidden="false" customHeight="false" outlineLevel="0" collapsed="false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customFormat="false" ht="15.75" hidden="false" customHeight="false" outlineLevel="0" collapsed="false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customFormat="false" ht="15.75" hidden="false" customHeight="false" outlineLevel="0" collapsed="false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customFormat="false" ht="15.75" hidden="false" customHeight="false" outlineLevel="0" collapsed="false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customFormat="false" ht="15.75" hidden="false" customHeight="false" outlineLevel="0" collapsed="false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customFormat="false" ht="15.75" hidden="false" customHeight="false" outlineLevel="0" collapsed="false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customFormat="false" ht="15.75" hidden="false" customHeight="false" outlineLevel="0" collapsed="false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customFormat="false" ht="15.75" hidden="false" customHeight="false" outlineLevel="0" collapsed="false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customFormat="false" ht="15.75" hidden="false" customHeight="false" outlineLevel="0" collapsed="false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customFormat="false" ht="15.75" hidden="false" customHeight="false" outlineLevel="0" collapsed="false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customFormat="false" ht="15.75" hidden="false" customHeight="false" outlineLevel="0" collapsed="false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customFormat="false" ht="15.75" hidden="false" customHeight="false" outlineLevel="0" collapsed="false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customFormat="false" ht="15.75" hidden="false" customHeight="false" outlineLevel="0" collapsed="false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customFormat="false" ht="15.75" hidden="false" customHeight="false" outlineLevel="0" collapsed="false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customFormat="false" ht="15.75" hidden="false" customHeight="false" outlineLevel="0" collapsed="false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customFormat="false" ht="15.75" hidden="false" customHeight="false" outlineLevel="0" collapsed="false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customFormat="false" ht="15.75" hidden="false" customHeight="false" outlineLevel="0" collapsed="false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customFormat="false" ht="15.75" hidden="false" customHeight="false" outlineLevel="0" collapsed="false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customFormat="false" ht="15.75" hidden="false" customHeight="false" outlineLevel="0" collapsed="false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customFormat="false" ht="15.75" hidden="false" customHeight="false" outlineLevel="0" collapsed="false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customFormat="false" ht="15.75" hidden="false" customHeight="false" outlineLevel="0" collapsed="false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customFormat="false" ht="15.75" hidden="false" customHeight="false" outlineLevel="0" collapsed="false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customFormat="false" ht="15.75" hidden="false" customHeight="false" outlineLevel="0" collapsed="false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customFormat="false" ht="15.75" hidden="false" customHeight="false" outlineLevel="0" collapsed="false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customFormat="false" ht="15.75" hidden="false" customHeight="false" outlineLevel="0" collapsed="false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customFormat="false" ht="15.75" hidden="false" customHeight="false" outlineLevel="0" collapsed="false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customFormat="false" ht="15.75" hidden="false" customHeight="false" outlineLevel="0" collapsed="false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customFormat="false" ht="15.75" hidden="false" customHeight="false" outlineLevel="0" collapsed="false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customFormat="false" ht="15.75" hidden="false" customHeight="false" outlineLevel="0" collapsed="false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customFormat="false" ht="15.75" hidden="false" customHeight="false" outlineLevel="0" collapsed="false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customFormat="false" ht="15.75" hidden="false" customHeight="false" outlineLevel="0" collapsed="false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customFormat="false" ht="15.75" hidden="false" customHeight="false" outlineLevel="0" collapsed="false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customFormat="false" ht="15.75" hidden="false" customHeight="false" outlineLevel="0" collapsed="false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customFormat="false" ht="15.75" hidden="false" customHeight="false" outlineLevel="0" collapsed="false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customFormat="false" ht="15.75" hidden="false" customHeight="false" outlineLevel="0" collapsed="false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customFormat="false" ht="15.75" hidden="false" customHeight="false" outlineLevel="0" collapsed="false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customFormat="false" ht="15.75" hidden="false" customHeight="false" outlineLevel="0" collapsed="false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customFormat="false" ht="15.75" hidden="false" customHeight="false" outlineLevel="0" collapsed="false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customFormat="false" ht="15.75" hidden="false" customHeight="false" outlineLevel="0" collapsed="false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customFormat="false" ht="15.75" hidden="false" customHeight="false" outlineLevel="0" collapsed="false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customFormat="false" ht="15.75" hidden="false" customHeight="false" outlineLevel="0" collapsed="false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customFormat="false" ht="15.75" hidden="false" customHeight="false" outlineLevel="0" collapsed="false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customFormat="false" ht="15.75" hidden="false" customHeight="false" outlineLevel="0" collapsed="false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customFormat="false" ht="15.75" hidden="false" customHeight="false" outlineLevel="0" collapsed="false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customFormat="false" ht="15.75" hidden="false" customHeight="false" outlineLevel="0" collapsed="false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customFormat="false" ht="15.75" hidden="false" customHeight="false" outlineLevel="0" collapsed="false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customFormat="false" ht="15.75" hidden="false" customHeight="false" outlineLevel="0" collapsed="false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customFormat="false" ht="15.75" hidden="false" customHeight="false" outlineLevel="0" collapsed="false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customFormat="false" ht="15.75" hidden="false" customHeight="false" outlineLevel="0" collapsed="false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customFormat="false" ht="15.75" hidden="false" customHeight="false" outlineLevel="0" collapsed="false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customFormat="false" ht="15.75" hidden="false" customHeight="false" outlineLevel="0" collapsed="false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customFormat="false" ht="15.75" hidden="false" customHeight="false" outlineLevel="0" collapsed="false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customFormat="false" ht="15.75" hidden="false" customHeight="false" outlineLevel="0" collapsed="false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customFormat="false" ht="15.75" hidden="false" customHeight="false" outlineLevel="0" collapsed="false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customFormat="false" ht="15.75" hidden="false" customHeight="false" outlineLevel="0" collapsed="false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customFormat="false" ht="15.75" hidden="false" customHeight="false" outlineLevel="0" collapsed="false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customFormat="false" ht="15.75" hidden="false" customHeight="false" outlineLevel="0" collapsed="false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customFormat="false" ht="15.75" hidden="false" customHeight="false" outlineLevel="0" collapsed="false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customFormat="false" ht="15.75" hidden="false" customHeight="false" outlineLevel="0" collapsed="false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customFormat="false" ht="15.75" hidden="false" customHeight="false" outlineLevel="0" collapsed="false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customFormat="false" ht="15.75" hidden="false" customHeight="false" outlineLevel="0" collapsed="false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customFormat="false" ht="15.75" hidden="false" customHeight="false" outlineLevel="0" collapsed="false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customFormat="false" ht="15.75" hidden="false" customHeight="false" outlineLevel="0" collapsed="false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customFormat="false" ht="15.75" hidden="false" customHeight="false" outlineLevel="0" collapsed="false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customFormat="false" ht="15.75" hidden="false" customHeight="false" outlineLevel="0" collapsed="false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customFormat="false" ht="15.75" hidden="false" customHeight="false" outlineLevel="0" collapsed="false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customFormat="false" ht="15.75" hidden="false" customHeight="false" outlineLevel="0" collapsed="false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customFormat="false" ht="15.75" hidden="false" customHeight="false" outlineLevel="0" collapsed="false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customFormat="false" ht="15.75" hidden="false" customHeight="false" outlineLevel="0" collapsed="false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customFormat="false" ht="15.75" hidden="false" customHeight="false" outlineLevel="0" collapsed="false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customFormat="false" ht="15.75" hidden="false" customHeight="false" outlineLevel="0" collapsed="false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customFormat="false" ht="15.75" hidden="false" customHeight="false" outlineLevel="0" collapsed="false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customFormat="false" ht="15.75" hidden="false" customHeight="false" outlineLevel="0" collapsed="false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customFormat="false" ht="15.75" hidden="false" customHeight="false" outlineLevel="0" collapsed="false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customFormat="false" ht="15.75" hidden="false" customHeight="false" outlineLevel="0" collapsed="false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customFormat="false" ht="15.75" hidden="false" customHeight="false" outlineLevel="0" collapsed="false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customFormat="false" ht="15.75" hidden="false" customHeight="false" outlineLevel="0" collapsed="false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customFormat="false" ht="15.75" hidden="false" customHeight="false" outlineLevel="0" collapsed="false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customFormat="false" ht="15.75" hidden="false" customHeight="false" outlineLevel="0" collapsed="false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customFormat="false" ht="15.75" hidden="false" customHeight="false" outlineLevel="0" collapsed="false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customFormat="false" ht="15.75" hidden="false" customHeight="false" outlineLevel="0" collapsed="false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customFormat="false" ht="15.75" hidden="false" customHeight="false" outlineLevel="0" collapsed="false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customFormat="false" ht="15.75" hidden="false" customHeight="false" outlineLevel="0" collapsed="false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customFormat="false" ht="15.75" hidden="false" customHeight="false" outlineLevel="0" collapsed="false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customFormat="false" ht="15.75" hidden="false" customHeight="false" outlineLevel="0" collapsed="false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customFormat="false" ht="15.75" hidden="false" customHeight="false" outlineLevel="0" collapsed="false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customFormat="false" ht="15.75" hidden="false" customHeight="false" outlineLevel="0" collapsed="false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customFormat="false" ht="15.75" hidden="false" customHeight="false" outlineLevel="0" collapsed="false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customFormat="false" ht="15.75" hidden="false" customHeight="false" outlineLevel="0" collapsed="false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customFormat="false" ht="15.75" hidden="false" customHeight="false" outlineLevel="0" collapsed="false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customFormat="false" ht="15.75" hidden="false" customHeight="false" outlineLevel="0" collapsed="false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customFormat="false" ht="15.75" hidden="false" customHeight="false" outlineLevel="0" collapsed="false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customFormat="false" ht="15.75" hidden="false" customHeight="false" outlineLevel="0" collapsed="false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customFormat="false" ht="15.75" hidden="false" customHeight="false" outlineLevel="0" collapsed="false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customFormat="false" ht="15.75" hidden="false" customHeight="false" outlineLevel="0" collapsed="false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customFormat="false" ht="15.75" hidden="false" customHeight="false" outlineLevel="0" collapsed="false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customFormat="false" ht="15.75" hidden="false" customHeight="false" outlineLevel="0" collapsed="false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customFormat="false" ht="15.75" hidden="false" customHeight="false" outlineLevel="0" collapsed="false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customFormat="false" ht="15.75" hidden="false" customHeight="false" outlineLevel="0" collapsed="false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customFormat="false" ht="15.75" hidden="false" customHeight="false" outlineLevel="0" collapsed="false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customFormat="false" ht="15.75" hidden="false" customHeight="false" outlineLevel="0" collapsed="false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customFormat="false" ht="15.75" hidden="false" customHeight="false" outlineLevel="0" collapsed="false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customFormat="false" ht="15.75" hidden="false" customHeight="false" outlineLevel="0" collapsed="false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customFormat="false" ht="15.75" hidden="false" customHeight="false" outlineLevel="0" collapsed="false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customFormat="false" ht="15.75" hidden="false" customHeight="false" outlineLevel="0" collapsed="false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customFormat="false" ht="15.75" hidden="false" customHeight="false" outlineLevel="0" collapsed="false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customFormat="false" ht="15.75" hidden="false" customHeight="false" outlineLevel="0" collapsed="false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customFormat="false" ht="15.75" hidden="false" customHeight="false" outlineLevel="0" collapsed="false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customFormat="false" ht="15.75" hidden="false" customHeight="false" outlineLevel="0" collapsed="false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customFormat="false" ht="15.75" hidden="false" customHeight="false" outlineLevel="0" collapsed="false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customFormat="false" ht="15.75" hidden="false" customHeight="false" outlineLevel="0" collapsed="false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customFormat="false" ht="15.75" hidden="false" customHeight="false" outlineLevel="0" collapsed="false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customFormat="false" ht="15.75" hidden="false" customHeight="false" outlineLevel="0" collapsed="false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customFormat="false" ht="15.75" hidden="false" customHeight="false" outlineLevel="0" collapsed="false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customFormat="false" ht="15.75" hidden="false" customHeight="false" outlineLevel="0" collapsed="false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customFormat="false" ht="15.75" hidden="false" customHeight="false" outlineLevel="0" collapsed="false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customFormat="false" ht="15.75" hidden="false" customHeight="false" outlineLevel="0" collapsed="false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customFormat="false" ht="15.75" hidden="false" customHeight="false" outlineLevel="0" collapsed="false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mergeCells count="36">
    <mergeCell ref="I1:I12"/>
    <mergeCell ref="A9:B9"/>
    <mergeCell ref="C9:D9"/>
    <mergeCell ref="E9:F9"/>
    <mergeCell ref="H9:H10"/>
    <mergeCell ref="A10:B11"/>
    <mergeCell ref="C10:D11"/>
    <mergeCell ref="E10:F11"/>
    <mergeCell ref="G10:G11"/>
    <mergeCell ref="H11:H12"/>
    <mergeCell ref="A12:D12"/>
    <mergeCell ref="B16:B21"/>
    <mergeCell ref="D16:D21"/>
    <mergeCell ref="F16:F21"/>
    <mergeCell ref="H16:H21"/>
    <mergeCell ref="I16:I21"/>
    <mergeCell ref="B27:B32"/>
    <mergeCell ref="D27:D32"/>
    <mergeCell ref="F27:F32"/>
    <mergeCell ref="H27:H32"/>
    <mergeCell ref="I27:I32"/>
    <mergeCell ref="B38:B43"/>
    <mergeCell ref="D38:D43"/>
    <mergeCell ref="F38:F43"/>
    <mergeCell ref="H38:H43"/>
    <mergeCell ref="I38:I43"/>
    <mergeCell ref="B49:B54"/>
    <mergeCell ref="D49:D54"/>
    <mergeCell ref="F49:F54"/>
    <mergeCell ref="H49:H54"/>
    <mergeCell ref="I49:I54"/>
    <mergeCell ref="B60:B65"/>
    <mergeCell ref="D60:D65"/>
    <mergeCell ref="F60:F65"/>
    <mergeCell ref="H60:H65"/>
    <mergeCell ref="I60:I6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2026-06-05T19:12:20Z</dcterms:modified>
  <cp:revision>1</cp:revision>
  <dc:subject/>
  <dc:title/>
</cp:coreProperties>
</file>