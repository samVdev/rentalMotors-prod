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<sst xmlns="http://schemas.openxmlformats.org/spreadsheetml/2006/main" count="88" uniqueCount="50">
  <si>
    <t>PAGOS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</si>
  <si>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</si>
  <si>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</si>
  <si>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</si>
  <si>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</si>
  <si>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</si>
  <si>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</si>
  <si>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</si>
  <si>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A219782G</t>
  </si>
  <si>
    <t>BERA</t>
  </si>
  <si>
    <t>BRS</t>
  </si>
  <si>
    <t>CQB22I</t>
  </si>
  <si>
    <t>64B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</si>
  <si>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</si>
  <si>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</si>
  <si>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</si>
  <si>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</si>
  <si>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</si>
  <si>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</si>
  <si>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</si>
  <si>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</si>
  <si>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</si>
  <si>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PPT</t>
  </si>
  <si>
    <t xml:space="preserve">NACIONALIDAD </t>
  </si>
  <si>
    <t>NUMERO</t>
  </si>
  <si>
    <t>SOAT</t>
  </si>
  <si>
    <t>Traspaso de propiedad</t>
  </si>
  <si>
    <t xml:space="preserve">DEUDA DE SEMANA </t>
  </si>
  <si>
    <t>ANA ELOISA</t>
  </si>
  <si>
    <t>COLINA SILVA</t>
  </si>
  <si>
    <t>VENEZOLANA</t>
  </si>
  <si>
    <t>ACTIVO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</si>
  <si>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</si>
  <si>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</si>
  <si>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</si>
  <si>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</si>
  <si>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</si>
  <si>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</si>
  <si>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</si>
  <si>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entrega de moto</t>
  </si>
  <si>
    <t>REF.</t>
  </si>
  <si>
    <t>M112203</t>
  </si>
  <si>
    <t>M024679</t>
  </si>
  <si>
    <t>M13975480</t>
  </si>
  <si>
    <t>M17197934</t>
  </si>
  <si>
    <t>M18152384</t>
  </si>
  <si>
    <t>M19832822</t>
  </si>
  <si>
    <t>M965369</t>
  </si>
  <si>
    <t>M20223675</t>
  </si>
  <si>
    <t>M18838655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</si>
</sst>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 $]#,##0"/>
    <numFmt numFmtId="165" formatCode="[$$]#,##0.00"/>
    <numFmt numFmtId="166" formatCode="dd/mm/yyyy"/>
  </numFmts>
  <fonts count="27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1.0"/>
      <color theme="1"/>
      <name val="Nunito"/>
    </font>
    <font>
      <b/>
      <color theme="1"/>
      <name val="Arial"/>
    </font>
    <font>
      <b/>
      <sz val="12.0"/>
      <color rgb="FFFFFFFF"/>
      <name val="Nunito"/>
    </font>
    <font>
      <b/>
      <sz val="13.0"/>
      <color rgb="FF000000"/>
      <name val="Nunito"/>
    </font>
    <font>
      <b/>
      <sz val="13.0"/>
      <color rgb="FF000000"/>
      <name val="Arial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sz val="12.0"/>
      <color theme="1"/>
      <name val="Arial"/>
    </font>
    <font>
      <b/>
      <sz val="11.0"/>
      <color theme="1"/>
      <name val="Arial"/>
      <scheme val="minor"/>
    </font>
    <font>
      <sz val="25.0"/>
      <color theme="1"/>
      <name val="Arial"/>
    </font>
    <font>
      <b/>
      <color rgb="FFFFFFFF"/>
      <name val="Arial"/>
    </font>
    <font>
      <color rgb="FFFFFFFF"/>
      <name val="Arial"/>
    </font>
    <font/>
    <font>
      <b/>
      <sz val="25.0"/>
      <color rgb="FFFFFFFF"/>
      <name val="Arial"/>
    </font>
    <font>
      <b/>
      <sz val="24.0"/>
      <color rgb="FFFFFFFF"/>
      <name val="Arial"/>
    </font>
    <font>
      <sz val="23.0"/>
      <color theme="1"/>
      <name val="Arial"/>
    </font>
    <font>
      <sz val="11.0"/>
      <color theme="1"/>
      <name val="Arial"/>
    </font>
    <font>
      <b/>
      <sz val="20.0"/>
      <color theme="1"/>
      <name val="Arial"/>
    </font>
    <font>
      <b/>
      <sz val="23.0"/>
      <color rgb="FFFFFFFF"/>
      <name val="Arial"/>
    </font>
    <font>
      <b/>
      <sz val="11.0"/>
      <color theme="1"/>
      <name val="Arial"/>
    </font>
    <font>
      <b/>
      <sz val="13.0"/>
      <color rgb="FFFFFFFF"/>
      <name val="Arial"/>
    </font>
    <font>
      <b/>
      <color rgb="FF46BDC6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EA4335"/>
        <bgColor rgb="FFEA4335"/>
      </patternFill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vertical="bottom"/>
    </xf>
    <xf borderId="1" fillId="3" fontId="4" numFmtId="1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readingOrder="0" vertical="bottom"/>
    </xf>
    <xf borderId="1" fillId="3" fontId="4" numFmtId="49" xfId="0" applyAlignment="1" applyBorder="1" applyFont="1" applyNumberFormat="1">
      <alignment horizontal="center" readingOrder="0" vertical="bottom"/>
    </xf>
    <xf borderId="1" fillId="3" fontId="4" numFmtId="165" xfId="0" applyAlignment="1" applyBorder="1" applyFont="1" applyNumberFormat="1">
      <alignment horizontal="center" vertical="bottom"/>
    </xf>
    <xf borderId="1" fillId="3" fontId="4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6" numFmtId="0" xfId="0" applyAlignment="1" applyFill="1" applyFont="1">
      <alignment horizontal="center" shrinkToFit="0" vertical="bottom" wrapText="1"/>
    </xf>
    <xf borderId="0" fillId="5" fontId="6" numFmtId="0" xfId="0" applyAlignment="1" applyFont="1">
      <alignment horizontal="center" vertical="bottom"/>
    </xf>
    <xf borderId="1" fillId="3" fontId="7" numFmtId="165" xfId="0" applyAlignment="1" applyBorder="1" applyFont="1" applyNumberFormat="1">
      <alignment horizontal="center" vertical="bottom"/>
    </xf>
    <xf borderId="1" fillId="3" fontId="7" numFmtId="165" xfId="0" applyAlignment="1" applyBorder="1" applyFont="1" applyNumberFormat="1">
      <alignment horizontal="center" readingOrder="0" vertical="bottom"/>
    </xf>
    <xf borderId="1" fillId="3" fontId="7" numFmtId="4" xfId="0" applyAlignment="1" applyBorder="1" applyFont="1" applyNumberFormat="1">
      <alignment horizontal="center" vertical="bottom"/>
    </xf>
    <xf borderId="1" fillId="3" fontId="7" numFmtId="1" xfId="0" applyAlignment="1" applyBorder="1" applyFont="1" applyNumberFormat="1">
      <alignment horizontal="center" readingOrder="0" vertical="bottom"/>
    </xf>
    <xf borderId="2" fillId="3" fontId="7" numFmtId="165" xfId="0" applyAlignment="1" applyBorder="1" applyFont="1" applyNumberFormat="1">
      <alignment horizontal="center" vertical="bottom"/>
    </xf>
    <xf borderId="2" fillId="3" fontId="8" numFmtId="165" xfId="0" applyAlignment="1" applyBorder="1" applyFont="1" applyNumberFormat="1">
      <alignment horizontal="center" vertical="bottom"/>
    </xf>
    <xf borderId="2" fillId="6" fontId="7" numFmtId="165" xfId="0" applyAlignment="1" applyBorder="1" applyFill="1" applyFont="1" applyNumberForma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7" fontId="2" numFmtId="0" xfId="0" applyAlignment="1" applyFont="1">
      <alignment vertical="bottom"/>
    </xf>
    <xf borderId="0" fillId="7" fontId="9" numFmtId="0" xfId="0" applyAlignment="1" applyFont="1">
      <alignment horizontal="center" readingOrder="0" vertical="bottom"/>
    </xf>
    <xf borderId="0" fillId="8" fontId="10" numFmtId="0" xfId="0" applyAlignment="1" applyFill="1" applyFont="1">
      <alignment horizontal="center" shrinkToFit="0" vertical="bottom" wrapText="1"/>
    </xf>
    <xf borderId="0" fillId="8" fontId="11" numFmtId="0" xfId="0" applyAlignment="1" applyFont="1">
      <alignment horizontal="center" shrinkToFit="0" vertical="bottom" wrapText="1"/>
    </xf>
    <xf borderId="0" fillId="9" fontId="5" numFmtId="0" xfId="0" applyAlignment="1" applyFill="1" applyFont="1">
      <alignment horizontal="center" readingOrder="0" vertical="bottom"/>
    </xf>
    <xf borderId="0" fillId="9" fontId="12" numFmtId="3" xfId="0" applyAlignment="1" applyFont="1" applyNumberFormat="1">
      <alignment horizontal="center" readingOrder="0" vertical="bottom"/>
    </xf>
    <xf borderId="0" fillId="9" fontId="13" numFmtId="0" xfId="0" applyAlignment="1" applyFont="1">
      <alignment horizontal="center" readingOrder="0"/>
    </xf>
    <xf borderId="0" fillId="10" fontId="2" numFmtId="164" xfId="0" applyAlignment="1" applyFill="1" applyFont="1" applyNumberFormat="1">
      <alignment vertical="bottom"/>
    </xf>
    <xf borderId="0" fillId="11" fontId="2" numFmtId="0" xfId="0" applyAlignment="1" applyFill="1" applyFont="1">
      <alignment vertical="bottom"/>
    </xf>
    <xf borderId="3" fillId="11" fontId="2" numFmtId="0" xfId="0" applyAlignment="1" applyBorder="1" applyFont="1">
      <alignment vertical="bottom"/>
    </xf>
    <xf borderId="3" fillId="11" fontId="2" numFmtId="164" xfId="0" applyAlignment="1" applyBorder="1" applyFont="1" applyNumberFormat="1">
      <alignment vertical="bottom"/>
    </xf>
    <xf borderId="4" fillId="11" fontId="14" numFmtId="0" xfId="0" applyAlignment="1" applyBorder="1" applyFont="1">
      <alignment horizontal="center" vertical="bottom"/>
    </xf>
    <xf borderId="0" fillId="5" fontId="15" numFmtId="0" xfId="0" applyAlignment="1" applyFont="1">
      <alignment horizontal="center" vertical="bottom"/>
    </xf>
    <xf borderId="0" fillId="5" fontId="16" numFmtId="0" xfId="0" applyAlignment="1" applyFont="1">
      <alignment horizontal="center" vertical="bottom"/>
    </xf>
    <xf borderId="5" fillId="0" fontId="17" numFmtId="0" xfId="0" applyBorder="1" applyFont="1"/>
    <xf borderId="0" fillId="11" fontId="14" numFmtId="3" xfId="0" applyAlignment="1" applyFont="1" applyNumberFormat="1">
      <alignment horizontal="center" vertical="bottom"/>
    </xf>
    <xf borderId="0" fillId="12" fontId="18" numFmtId="4" xfId="0" applyAlignment="1" applyFill="1" applyFont="1" applyNumberFormat="1">
      <alignment horizontal="center" vertical="bottom"/>
    </xf>
    <xf borderId="0" fillId="10" fontId="19" numFmtId="4" xfId="0" applyAlignment="1" applyFont="1" applyNumberFormat="1">
      <alignment horizontal="center" vertical="bottom"/>
    </xf>
    <xf borderId="0" fillId="13" fontId="2" numFmtId="164" xfId="0" applyAlignment="1" applyFill="1" applyFont="1" applyNumberFormat="1">
      <alignment vertical="bottom"/>
    </xf>
    <xf borderId="5" fillId="11" fontId="20" numFmtId="0" xfId="0" applyAlignment="1" applyBorder="1" applyFont="1">
      <alignment horizontal="center" vertical="bottom"/>
    </xf>
    <xf borderId="6" fillId="0" fontId="17" numFmtId="0" xfId="0" applyBorder="1" applyFont="1"/>
    <xf borderId="0" fillId="14" fontId="15" numFmtId="0" xfId="0" applyAlignment="1" applyFill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0" fillId="15" fontId="15" numFmtId="0" xfId="0" applyAlignment="1" applyFill="1" applyFont="1">
      <alignment horizontal="center" vertical="bottom"/>
    </xf>
    <xf borderId="0" fillId="15" fontId="2" numFmtId="0" xfId="0" applyAlignment="1" applyFont="1">
      <alignment vertical="bottom"/>
    </xf>
    <xf borderId="0" fillId="11" fontId="2" numFmtId="166" xfId="0" applyAlignment="1" applyFont="1" applyNumberFormat="1">
      <alignment vertical="bottom"/>
    </xf>
    <xf borderId="0" fillId="16" fontId="2" numFmtId="164" xfId="0" applyAlignment="1" applyFill="1" applyFont="1" applyNumberFormat="1">
      <alignment vertical="bottom"/>
    </xf>
    <xf borderId="0" fillId="11" fontId="21" numFmtId="166" xfId="0" applyAlignment="1" applyFont="1" applyNumberFormat="1">
      <alignment horizontal="center" readingOrder="0" vertical="bottom"/>
    </xf>
    <xf borderId="0" fillId="16" fontId="22" numFmtId="164" xfId="0" applyAlignment="1" applyFont="1" applyNumberFormat="1">
      <alignment horizontal="center" readingOrder="0" textRotation="45" vertical="center"/>
    </xf>
    <xf borderId="0" fillId="11" fontId="23" numFmtId="164" xfId="0" applyAlignment="1" applyFont="1" applyNumberFormat="1">
      <alignment horizontal="center" vertical="bottom"/>
    </xf>
    <xf borderId="0" fillId="0" fontId="24" numFmtId="164" xfId="0" applyAlignment="1" applyFont="1" applyNumberFormat="1">
      <alignment horizontal="center" vertical="bottom"/>
    </xf>
    <xf borderId="0" fillId="0" fontId="12" numFmtId="164" xfId="0" applyAlignment="1" applyFont="1" applyNumberFormat="1">
      <alignment horizontal="center" readingOrder="0" vertical="bottom"/>
    </xf>
    <xf borderId="0" fillId="4" fontId="25" numFmtId="164" xfId="0" applyAlignment="1" applyFont="1" applyNumberFormat="1">
      <alignment horizontal="center" vertical="bottom"/>
    </xf>
    <xf borderId="0" fillId="4" fontId="25" numFmtId="0" xfId="0" applyAlignment="1" applyFont="1">
      <alignment horizontal="center" vertical="bottom"/>
    </xf>
    <xf borderId="0" fillId="11" fontId="2" numFmtId="0" xfId="0" applyAlignment="1" applyFont="1">
      <alignment horizontal="center" vertical="bottom"/>
    </xf>
    <xf borderId="0" fillId="17" fontId="24" numFmtId="0" xfId="0" applyAlignment="1" applyFill="1" applyFont="1">
      <alignment horizontal="center" readingOrder="0" vertical="bottom"/>
    </xf>
    <xf borderId="0" fillId="11" fontId="26" numFmtId="0" xfId="0" applyAlignment="1" applyFont="1">
      <alignment horizontal="center" readingOrder="0" vertical="bottom"/>
    </xf>
    <xf borderId="0" fillId="4" fontId="2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1381125</xdr:colOff>
      <xdr:row>0</xdr:row>
      <xdr:rowOff>0</xdr:rowOff>
    </xdr:from>
    <xdr:ext cx="1819275" cy="2752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20.88"/>
    <col customWidth="1" min="2" max="2" width="19.38"/>
    <col customWidth="1" min="3" max="3" width="17.5"/>
    <col customWidth="1" min="4" max="4" width="17.13"/>
    <col customWidth="1" min="5" max="5" width="16.5"/>
    <col customWidth="1" min="6" max="6" width="18.63"/>
    <col customWidth="1" min="7" max="7" width="18.25"/>
    <col customWidth="1" min="8" max="8" width="18.63"/>
    <col customWidth="1" min="9" max="9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2027.0</v>
      </c>
      <c r="D2" s="7" t="s">
        <v>10</v>
      </c>
      <c r="E2" s="8" t="s">
        <v>11</v>
      </c>
      <c r="F2" s="9" t="s">
        <v>12</v>
      </c>
      <c r="G2" s="10">
        <v>6000000.0</v>
      </c>
      <c r="H2" s="11">
        <v>1000000.0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"/>
      <c r="B3" s="12"/>
      <c r="C3" s="12"/>
      <c r="D3" s="12"/>
      <c r="E3" s="12"/>
      <c r="F3" s="12"/>
      <c r="G3" s="12"/>
      <c r="H3" s="1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 t="s">
        <v>13</v>
      </c>
      <c r="B4" s="14" t="s">
        <v>14</v>
      </c>
      <c r="C4" s="14" t="s">
        <v>15</v>
      </c>
      <c r="D4" s="14" t="s">
        <v>16</v>
      </c>
      <c r="E4" s="14" t="s">
        <v>17</v>
      </c>
      <c r="F4" s="14" t="s">
        <v>18</v>
      </c>
      <c r="G4" s="14" t="s">
        <v>19</v>
      </c>
      <c r="H4" s="14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5">
        <f>G2-H2</f>
        <v>5000000</v>
      </c>
      <c r="B5" s="16">
        <v>2.654</v>
      </c>
      <c r="C5" s="17">
        <f>A5*B5</f>
        <v>13270000</v>
      </c>
      <c r="D5" s="18">
        <v>18.0</v>
      </c>
      <c r="E5" s="19">
        <f>C5/D5</f>
        <v>737222.2222</v>
      </c>
      <c r="F5" s="20">
        <f>E5/2</f>
        <v>368611.1111</v>
      </c>
      <c r="G5" s="21">
        <f>E5/4</f>
        <v>184305.5556</v>
      </c>
      <c r="H5" s="19">
        <f>G5/6</f>
        <v>30717.59259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2" t="s">
        <v>21</v>
      </c>
      <c r="B6" s="23"/>
      <c r="C6" s="24" t="s">
        <v>22</v>
      </c>
      <c r="D6" s="22" t="s">
        <v>23</v>
      </c>
      <c r="E6" s="22" t="s">
        <v>24</v>
      </c>
      <c r="F6" s="25" t="s">
        <v>25</v>
      </c>
      <c r="G6" s="26" t="s">
        <v>26</v>
      </c>
      <c r="H6" s="26" t="s">
        <v>27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7" t="s">
        <v>28</v>
      </c>
      <c r="B7" s="27" t="s">
        <v>29</v>
      </c>
      <c r="C7" s="28">
        <v>6417686.0</v>
      </c>
      <c r="D7" s="27" t="s">
        <v>30</v>
      </c>
      <c r="E7" s="27">
        <v>3.14526284E9</v>
      </c>
      <c r="F7" s="29" t="s">
        <v>31</v>
      </c>
      <c r="G7" s="29" t="s">
        <v>31</v>
      </c>
      <c r="H7" s="3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1"/>
      <c r="B8" s="31"/>
      <c r="C8" s="31"/>
      <c r="D8" s="31"/>
      <c r="E8" s="32"/>
      <c r="F8" s="33"/>
      <c r="G8" s="3"/>
      <c r="H8" s="34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5" t="s">
        <v>32</v>
      </c>
      <c r="C9" s="36" t="s">
        <v>33</v>
      </c>
      <c r="E9" s="36" t="s">
        <v>34</v>
      </c>
      <c r="G9" s="36" t="s">
        <v>35</v>
      </c>
      <c r="H9" s="37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8">
        <f>I16+I26+I36</f>
        <v>1720448</v>
      </c>
      <c r="C10" s="39">
        <f>C5-A10</f>
        <v>11549552</v>
      </c>
      <c r="E10" s="40">
        <f>C10+G10</f>
        <v>11549552</v>
      </c>
      <c r="G10" s="41"/>
      <c r="H10" s="42">
        <f>I23+I33+I43</f>
        <v>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4" t="s">
        <v>36</v>
      </c>
      <c r="E12" s="45"/>
      <c r="F12" s="46"/>
      <c r="G12" s="46"/>
      <c r="H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7" t="s">
        <v>37</v>
      </c>
      <c r="B15" s="47" t="s">
        <v>38</v>
      </c>
      <c r="C15" s="47" t="s">
        <v>37</v>
      </c>
      <c r="D15" s="47" t="s">
        <v>38</v>
      </c>
      <c r="E15" s="47" t="s">
        <v>37</v>
      </c>
      <c r="F15" s="47" t="s">
        <v>38</v>
      </c>
      <c r="G15" s="47" t="s">
        <v>37</v>
      </c>
      <c r="H15" s="47" t="s">
        <v>38</v>
      </c>
      <c r="I15" s="48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9"/>
      <c r="B16" s="50"/>
      <c r="C16" s="51">
        <v>46111.0</v>
      </c>
      <c r="D16" s="52">
        <v>184306.0</v>
      </c>
      <c r="E16" s="51">
        <v>46118.0</v>
      </c>
      <c r="F16" s="52">
        <v>184306.0</v>
      </c>
      <c r="G16" s="51">
        <v>46125.0</v>
      </c>
      <c r="H16" s="52">
        <v>184306.0</v>
      </c>
      <c r="I16" s="53">
        <f>B22+D22+F22+H22</f>
        <v>614918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9"/>
      <c r="B17" s="2"/>
      <c r="C17" s="51">
        <v>46112.0</v>
      </c>
      <c r="E17" s="51">
        <v>46119.0</v>
      </c>
      <c r="G17" s="51">
        <v>46126.0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9"/>
      <c r="B18" s="2"/>
      <c r="C18" s="51">
        <v>46113.0</v>
      </c>
      <c r="E18" s="51">
        <v>46120.0</v>
      </c>
      <c r="G18" s="51">
        <v>46127.0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1">
        <v>46107.0</v>
      </c>
      <c r="B19" s="54" t="s">
        <v>39</v>
      </c>
      <c r="C19" s="51">
        <v>46114.0</v>
      </c>
      <c r="E19" s="51">
        <v>46121.0</v>
      </c>
      <c r="G19" s="51">
        <v>46128.0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1">
        <v>46108.0</v>
      </c>
      <c r="B20" s="2"/>
      <c r="C20" s="51">
        <v>46115.0</v>
      </c>
      <c r="E20" s="51">
        <v>46122.0</v>
      </c>
      <c r="G20" s="51">
        <v>46129.0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1">
        <v>46109.0</v>
      </c>
      <c r="B21" s="55">
        <v>62000.0</v>
      </c>
      <c r="C21" s="51">
        <v>46116.0</v>
      </c>
      <c r="E21" s="51">
        <v>46123.0</v>
      </c>
      <c r="G21" s="51">
        <v>46130.0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"/>
      <c r="B22" s="56">
        <f>SUM(B16:B21)</f>
        <v>62000</v>
      </c>
      <c r="C22" s="12"/>
      <c r="D22" s="56">
        <f>SUM(D16:D21)</f>
        <v>184306</v>
      </c>
      <c r="E22" s="12"/>
      <c r="F22" s="56">
        <f>SUM(F16:F21)</f>
        <v>184306</v>
      </c>
      <c r="G22" s="12"/>
      <c r="H22" s="56">
        <f>SUM(H16:H21)</f>
        <v>184306</v>
      </c>
      <c r="I22" s="57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8" t="s">
        <v>40</v>
      </c>
      <c r="B23" s="59" t="s">
        <v>41</v>
      </c>
      <c r="C23" s="58" t="s">
        <v>40</v>
      </c>
      <c r="D23" s="59" t="s">
        <v>42</v>
      </c>
      <c r="E23" s="58" t="s">
        <v>40</v>
      </c>
      <c r="F23" s="59" t="s">
        <v>43</v>
      </c>
      <c r="G23" s="58" t="s">
        <v>40</v>
      </c>
      <c r="H23" s="59" t="s">
        <v>44</v>
      </c>
      <c r="I23" s="60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7" t="s">
        <v>37</v>
      </c>
      <c r="B25" s="47" t="s">
        <v>38</v>
      </c>
      <c r="C25" s="47" t="s">
        <v>37</v>
      </c>
      <c r="D25" s="47" t="s">
        <v>38</v>
      </c>
      <c r="E25" s="47" t="s">
        <v>37</v>
      </c>
      <c r="F25" s="47" t="s">
        <v>38</v>
      </c>
      <c r="G25" s="47" t="s">
        <v>37</v>
      </c>
      <c r="H25" s="47" t="s">
        <v>38</v>
      </c>
      <c r="I25" s="48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1">
        <v>46132.0</v>
      </c>
      <c r="B26" s="52">
        <v>184306.0</v>
      </c>
      <c r="C26" s="51">
        <v>46139.0</v>
      </c>
      <c r="D26" s="52">
        <v>184306.0</v>
      </c>
      <c r="E26" s="51">
        <v>46146.0</v>
      </c>
      <c r="F26" s="52">
        <v>184000.0</v>
      </c>
      <c r="G26" s="51">
        <v>46153.0</v>
      </c>
      <c r="H26" s="52">
        <v>184306.0</v>
      </c>
      <c r="I26" s="53">
        <f>B32+D32+F32+H32</f>
        <v>736918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1">
        <v>46133.0</v>
      </c>
      <c r="C27" s="51">
        <v>46140.0</v>
      </c>
      <c r="E27" s="51">
        <v>46147.0</v>
      </c>
      <c r="G27" s="51">
        <v>46154.0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1">
        <v>46134.0</v>
      </c>
      <c r="C28" s="51">
        <v>46141.0</v>
      </c>
      <c r="E28" s="51">
        <v>46148.0</v>
      </c>
      <c r="G28" s="51">
        <v>46155.0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1">
        <v>46135.0</v>
      </c>
      <c r="C29" s="51">
        <v>46142.0</v>
      </c>
      <c r="E29" s="51">
        <v>46149.0</v>
      </c>
      <c r="G29" s="51">
        <v>46156.0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1">
        <v>46136.0</v>
      </c>
      <c r="C30" s="51">
        <v>46143.0</v>
      </c>
      <c r="E30" s="51">
        <v>46150.0</v>
      </c>
      <c r="G30" s="51">
        <v>46157.0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1">
        <v>46137.0</v>
      </c>
      <c r="C31" s="51">
        <v>46144.0</v>
      </c>
      <c r="E31" s="51">
        <v>46151.0</v>
      </c>
      <c r="G31" s="51">
        <v>46158.0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"/>
      <c r="B32" s="56">
        <f>SUM(B26:B31)</f>
        <v>184306</v>
      </c>
      <c r="C32" s="12"/>
      <c r="D32" s="56">
        <f>SUM(D26:D31)</f>
        <v>184306</v>
      </c>
      <c r="E32" s="12"/>
      <c r="F32" s="56">
        <f>SUM(F26:F31)</f>
        <v>184000</v>
      </c>
      <c r="G32" s="12"/>
      <c r="H32" s="56">
        <f>SUM(H26:H31)</f>
        <v>184306</v>
      </c>
      <c r="I32" s="61">
        <v>2.0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8" t="s">
        <v>40</v>
      </c>
      <c r="B33" s="59" t="s">
        <v>45</v>
      </c>
      <c r="C33" s="58" t="s">
        <v>40</v>
      </c>
      <c r="D33" s="59" t="s">
        <v>46</v>
      </c>
      <c r="E33" s="58" t="s">
        <v>40</v>
      </c>
      <c r="F33" s="59" t="s">
        <v>47</v>
      </c>
      <c r="G33" s="58" t="s">
        <v>40</v>
      </c>
      <c r="H33" s="59" t="s">
        <v>48</v>
      </c>
      <c r="I33" s="60">
        <v>1.0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7" t="s">
        <v>37</v>
      </c>
      <c r="B35" s="47" t="s">
        <v>38</v>
      </c>
      <c r="C35" s="47" t="s">
        <v>37</v>
      </c>
      <c r="D35" s="47" t="s">
        <v>38</v>
      </c>
      <c r="E35" s="47" t="s">
        <v>37</v>
      </c>
      <c r="F35" s="47" t="s">
        <v>38</v>
      </c>
      <c r="G35" s="47" t="s">
        <v>37</v>
      </c>
      <c r="H35" s="47" t="s">
        <v>38</v>
      </c>
      <c r="I35" s="48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1">
        <v>46160.0</v>
      </c>
      <c r="B36" s="52">
        <v>184306.0</v>
      </c>
      <c r="C36" s="51">
        <v>46167.0</v>
      </c>
      <c r="D36" s="52">
        <v>184306.0</v>
      </c>
      <c r="E36" s="51">
        <v>46174.0</v>
      </c>
      <c r="F36" s="52"/>
      <c r="G36" s="51">
        <v>46181.0</v>
      </c>
      <c r="H36" s="52"/>
      <c r="I36" s="53">
        <f>B42+D42+F42+H42</f>
        <v>368612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1">
        <v>46161.0</v>
      </c>
      <c r="C37" s="51">
        <v>46168.0</v>
      </c>
      <c r="E37" s="51">
        <v>46175.0</v>
      </c>
      <c r="G37" s="51">
        <v>46182.0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1">
        <v>46162.0</v>
      </c>
      <c r="C38" s="51">
        <v>46169.0</v>
      </c>
      <c r="E38" s="51">
        <v>46176.0</v>
      </c>
      <c r="G38" s="51">
        <v>46183.0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1">
        <v>46163.0</v>
      </c>
      <c r="C39" s="51">
        <v>46170.0</v>
      </c>
      <c r="E39" s="51">
        <v>46177.0</v>
      </c>
      <c r="G39" s="51">
        <v>46184.0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1">
        <v>46164.0</v>
      </c>
      <c r="C40" s="51">
        <v>46171.0</v>
      </c>
      <c r="E40" s="51">
        <v>46178.0</v>
      </c>
      <c r="G40" s="51">
        <v>46185.0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1">
        <v>46165.0</v>
      </c>
      <c r="C41" s="51">
        <v>46172.0</v>
      </c>
      <c r="E41" s="51">
        <v>46179.0</v>
      </c>
      <c r="G41" s="51">
        <v>46186.0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"/>
      <c r="B42" s="56">
        <f>SUM(B36:B41)</f>
        <v>184306</v>
      </c>
      <c r="C42" s="12"/>
      <c r="D42" s="56">
        <f>SUM(D36:D41)</f>
        <v>184306</v>
      </c>
      <c r="E42" s="12"/>
      <c r="F42" s="56">
        <f>SUM(F36:F41)</f>
        <v>0</v>
      </c>
      <c r="G42" s="12"/>
      <c r="H42" s="56">
        <f>SUM(H36:H41)</f>
        <v>0</v>
      </c>
      <c r="I42" s="61">
        <v>3.0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8" t="s">
        <v>40</v>
      </c>
      <c r="B43" s="59" t="s">
        <v>49</v>
      </c>
      <c r="C43" s="58" t="s">
        <v>40</v>
      </c>
      <c r="D43" s="59" t="s">
        <v>43</v>
      </c>
      <c r="E43" s="58" t="s">
        <v>40</v>
      </c>
      <c r="F43" s="59" t="s">
        <v>43</v>
      </c>
      <c r="G43" s="58" t="s">
        <v>40</v>
      </c>
      <c r="H43" s="59" t="s">
        <v>43</v>
      </c>
      <c r="I43" s="60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</sheetData>
  <mergeCells count="28">
    <mergeCell ref="E10:F11"/>
    <mergeCell ref="G10:G11"/>
    <mergeCell ref="I1:I12"/>
    <mergeCell ref="H8:H9"/>
    <mergeCell ref="A9:B9"/>
    <mergeCell ref="C9:D9"/>
    <mergeCell ref="E9:F9"/>
    <mergeCell ref="A10:B11"/>
    <mergeCell ref="H10:H11"/>
    <mergeCell ref="D16:D21"/>
    <mergeCell ref="D26:D31"/>
    <mergeCell ref="B36:B41"/>
    <mergeCell ref="D36:D41"/>
    <mergeCell ref="F36:F41"/>
    <mergeCell ref="H16:H21"/>
    <mergeCell ref="H26:H31"/>
    <mergeCell ref="H36:H41"/>
    <mergeCell ref="I36:I41"/>
    <mergeCell ref="I26:I31"/>
    <mergeCell ref="A34:I34"/>
    <mergeCell ref="A44:I44"/>
    <mergeCell ref="C10:D11"/>
    <mergeCell ref="A12:D12"/>
    <mergeCell ref="F16:F21"/>
    <mergeCell ref="I16:I21"/>
    <mergeCell ref="A24:I24"/>
    <mergeCell ref="B26:B31"/>
    <mergeCell ref="F26:F31"/>
  </mergeCells>
  <drawing r:id="rId1"/>
</worksheet>
</file>