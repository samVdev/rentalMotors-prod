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OS" sheetId="1" r:id="rId5"/>
  </sheets>
  <definedNames/>
  <calcPr/>
</workbook>
</file>

<file path=xl/sharedStrings.xml><?xml version="1.0" encoding="utf-8"?>
<sst xmlns="http://schemas.openxmlformats.org/spreadsheetml/2006/main" count="114" uniqueCount="55">
  <si>
    <t>CODIGO</t>
  </si>
  <si>
    <t>MOTO</t>
  </si>
  <si>
    <t>MODELO</t>
  </si>
  <si>
    <t>MARCA</t>
  </si>
  <si>
    <t>PLACA</t>
  </si>
  <si>
    <t>MOVIL</t>
  </si>
  <si>
    <t xml:space="preserve">PRECIO </t>
  </si>
  <si>
    <t>INICIAL</t>
  </si>
  <si>
    <t>A21977</t>
  </si>
  <si>
    <t>BOXER</t>
  </si>
  <si>
    <t>BAJAJ</t>
  </si>
  <si>
    <t>MPF62G</t>
  </si>
  <si>
    <t>55B</t>
  </si>
  <si>
    <t>COSTO -INICIAL</t>
  </si>
  <si>
    <t>INTERES</t>
  </si>
  <si>
    <t>COSTO NETO</t>
  </si>
  <si>
    <t>MESES</t>
  </si>
  <si>
    <t>MESUAL</t>
  </si>
  <si>
    <t xml:space="preserve">QUINCENAL </t>
  </si>
  <si>
    <t>SEMANAL</t>
  </si>
  <si>
    <t xml:space="preserve">DIARIO </t>
  </si>
  <si>
    <t>NOMBRES</t>
  </si>
  <si>
    <t>APELLIDO</t>
  </si>
  <si>
    <t>CEDULA</t>
  </si>
  <si>
    <t xml:space="preserve">NACIONALIDAD </t>
  </si>
  <si>
    <t>NUMERO</t>
  </si>
  <si>
    <t>SOAT</t>
  </si>
  <si>
    <t>Traspaso de propiedad</t>
  </si>
  <si>
    <t>PRESTAMO.</t>
  </si>
  <si>
    <t>RAMIRO MANUEL</t>
  </si>
  <si>
    <t>PEREZ AMADOR</t>
  </si>
  <si>
    <t>COLOMBIANA</t>
  </si>
  <si>
    <t>ACTIVO</t>
  </si>
  <si>
    <t>SALDO ACTUAL PAGADO</t>
  </si>
  <si>
    <t>DEUDA  A PAGAR</t>
  </si>
  <si>
    <t>DEUDA TOTAL.</t>
  </si>
  <si>
    <t xml:space="preserve">DEUDA ADQUIRIDA </t>
  </si>
  <si>
    <t>RENTAL MOTORS S.A.S</t>
  </si>
  <si>
    <t>FECHA</t>
  </si>
  <si>
    <t>ABONO</t>
  </si>
  <si>
    <t>REF.</t>
  </si>
  <si>
    <t>EFECTIVO</t>
  </si>
  <si>
    <t>M19741</t>
  </si>
  <si>
    <t>M759188</t>
  </si>
  <si>
    <t>M121694</t>
  </si>
  <si>
    <t>M361042</t>
  </si>
  <si>
    <t>M123060</t>
  </si>
  <si>
    <t>M124090</t>
  </si>
  <si>
    <t>M125149</t>
  </si>
  <si>
    <t>M52822</t>
  </si>
  <si>
    <t>M04800</t>
  </si>
  <si>
    <t>M892943</t>
  </si>
  <si>
    <t>M17318989</t>
  </si>
  <si>
    <t>M829679</t>
  </si>
  <si>
    <t>M20084298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</si>
</sst>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 $]#,##0"/>
    <numFmt numFmtId="165" formatCode="[$$]#,##0.00"/>
    <numFmt numFmtId="166" formatCode="dd/mm/yyyy"/>
    <numFmt numFmtId="167" formatCode="&quot;$&quot;#,##0"/>
  </numFmts>
  <fonts count="23">
    <font>
      <sz val="10.0"/>
      <color rgb="FF000000"/>
      <name val="Arial"/>
      <scheme val="minor"/>
    </font>
    <font>
      <b/>
      <sz val="14.0"/>
      <color rgb="FFFFFFFF"/>
      <name val="Arial"/>
    </font>
    <font>
      <color theme="1"/>
      <name val="Arial"/>
    </font>
    <font>
      <b/>
      <sz val="12.0"/>
      <color theme="1"/>
      <name val="Nunito"/>
    </font>
    <font>
      <b/>
      <sz val="12.0"/>
      <color theme="1"/>
      <name val="Arial"/>
    </font>
    <font>
      <b/>
      <sz val="12.0"/>
      <color rgb="FFFFFFFF"/>
      <name val="Nunito"/>
    </font>
    <font>
      <b/>
      <sz val="13.0"/>
      <color rgb="FF000000"/>
      <name val="Nunito"/>
    </font>
    <font>
      <b/>
      <sz val="13.0"/>
      <color rgb="FF000000"/>
      <name val="Arial"/>
    </font>
    <font>
      <b/>
      <sz val="11.0"/>
      <color rgb="FFFFFFFF"/>
      <name val="Arial"/>
    </font>
    <font>
      <b/>
      <sz val="14.0"/>
      <color rgb="FF0077D9"/>
      <name val="Arial"/>
    </font>
    <font>
      <b/>
      <sz val="11.0"/>
      <color rgb="FF0077D9"/>
      <name val="Arial"/>
    </font>
    <font>
      <b/>
      <sz val="11.0"/>
      <color theme="1"/>
      <name val="Arial"/>
    </font>
    <font>
      <b/>
      <color rgb="FFFFFFFF"/>
      <name val="Arial"/>
    </font>
    <font>
      <color rgb="FFFFFFFF"/>
      <name val="Arial"/>
    </font>
    <font>
      <b/>
      <sz val="20.0"/>
      <color rgb="FFFFFFFF"/>
      <name val="Arial"/>
    </font>
    <font>
      <sz val="25.0"/>
      <color theme="1"/>
      <name val="Arial"/>
    </font>
    <font>
      <b/>
      <sz val="25.0"/>
      <color rgb="FFFFFFFF"/>
      <name val="Arial"/>
    </font>
    <font>
      <b/>
      <sz val="24.0"/>
      <color rgb="FFFFFFFF"/>
      <name val="Arial"/>
    </font>
    <font/>
    <font>
      <b/>
      <sz val="25.0"/>
      <color theme="1"/>
      <name val="Arial"/>
    </font>
    <font>
      <b/>
      <sz val="20.0"/>
      <color theme="1"/>
      <name val="Arial"/>
    </font>
    <font>
      <b/>
      <sz val="23.0"/>
      <color rgb="FFFFFFFF"/>
      <name val="Arial"/>
    </font>
    <font>
      <b/>
      <color rgb="FF46BDC6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0A99D6"/>
        <bgColor rgb="FF0A99D6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3D85C6"/>
        <bgColor rgb="FF3D85C6"/>
      </patternFill>
    </fill>
    <fill>
      <patternFill patternType="solid">
        <fgColor rgb="FFF2F2F2"/>
        <bgColor rgb="FFF2F2F2"/>
      </patternFill>
    </fill>
    <fill>
      <patternFill patternType="solid">
        <fgColor rgb="FFB7B7B7"/>
        <bgColor rgb="FFB7B7B7"/>
      </patternFill>
    </fill>
    <fill>
      <patternFill patternType="solid">
        <fgColor rgb="FFFF6D01"/>
        <bgColor rgb="FFFF6D01"/>
      </patternFill>
    </fill>
    <fill>
      <patternFill patternType="solid">
        <fgColor rgb="FFFF9900"/>
        <bgColor rgb="FFFF9900"/>
      </patternFill>
    </fill>
    <fill>
      <patternFill patternType="solid">
        <fgColor rgb="FF46BDC6"/>
        <bgColor rgb="FF46BDC6"/>
      </patternFill>
    </fill>
    <fill>
      <patternFill patternType="solid">
        <fgColor rgb="FF1155CC"/>
        <bgColor rgb="FF1155CC"/>
      </patternFill>
    </fill>
    <fill>
      <patternFill patternType="solid">
        <fgColor rgb="FFEA4335"/>
        <bgColor rgb="FFEA4335"/>
      </patternFill>
    </fill>
    <fill>
      <patternFill patternType="solid">
        <fgColor rgb="FFFF0000"/>
        <bgColor rgb="FFFF0000"/>
      </patternFill>
    </fill>
    <fill>
      <patternFill patternType="solid">
        <fgColor rgb="FF4285F4"/>
        <bgColor rgb="FF4285F4"/>
      </patternFill>
    </fill>
    <fill>
      <patternFill patternType="solid">
        <fgColor rgb="FF93C47D"/>
        <bgColor rgb="FF93C47D"/>
      </patternFill>
    </fill>
  </fills>
  <borders count="9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285F4"/>
      </left>
    </border>
    <border>
      <right style="thin">
        <color rgb="FF4285F4"/>
      </right>
      <top style="thin">
        <color rgb="FF4285F4"/>
      </top>
    </border>
    <border>
      <right style="thin">
        <color rgb="FF4285F4"/>
      </right>
    </border>
    <border>
      <left style="thin">
        <color rgb="FF4285F4"/>
      </left>
      <bottom style="thin">
        <color rgb="FF4285F4"/>
      </bottom>
    </border>
    <border>
      <bottom style="thin">
        <color rgb="FF4285F4"/>
      </bottom>
    </border>
    <border>
      <right style="thin">
        <color rgb="FF4285F4"/>
      </right>
      <bottom style="thin">
        <color rgb="FF4285F4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3" fontId="3" numFmtId="1" xfId="0" applyAlignment="1" applyBorder="1" applyFont="1" applyNumberFormat="1">
      <alignment horizontal="center" vertical="bottom"/>
    </xf>
    <xf borderId="1" fillId="3" fontId="3" numFmtId="1" xfId="0" applyAlignment="1" applyBorder="1" applyFont="1" applyNumberFormat="1">
      <alignment horizontal="center" readingOrder="0" vertical="bottom"/>
    </xf>
    <xf borderId="1" fillId="3" fontId="4" numFmtId="0" xfId="0" applyAlignment="1" applyBorder="1" applyFont="1">
      <alignment horizontal="center" readingOrder="0" vertical="bottom"/>
    </xf>
    <xf borderId="1" fillId="3" fontId="3" numFmtId="49" xfId="0" applyAlignment="1" applyBorder="1" applyFont="1" applyNumberFormat="1">
      <alignment horizontal="center" readingOrder="0" vertical="bottom"/>
    </xf>
    <xf borderId="1" fillId="3" fontId="3" numFmtId="165" xfId="0" applyAlignment="1" applyBorder="1" applyFont="1" applyNumberFormat="1">
      <alignment horizontal="center" readingOrder="0" vertical="bottom"/>
    </xf>
    <xf borderId="0" fillId="4" fontId="2" numFmtId="0" xfId="0" applyAlignment="1" applyFill="1" applyFont="1">
      <alignment vertical="bottom"/>
    </xf>
    <xf borderId="0" fillId="5" fontId="5" numFmtId="0" xfId="0" applyAlignment="1" applyFill="1" applyFont="1">
      <alignment horizontal="center" shrinkToFit="0" vertical="bottom" wrapText="1"/>
    </xf>
    <xf borderId="0" fillId="5" fontId="5" numFmtId="0" xfId="0" applyAlignment="1" applyFont="1">
      <alignment horizontal="center" vertical="bottom"/>
    </xf>
    <xf borderId="1" fillId="6" fontId="6" numFmtId="165" xfId="0" applyAlignment="1" applyBorder="1" applyFill="1" applyFont="1" applyNumberFormat="1">
      <alignment horizontal="center" vertical="bottom"/>
    </xf>
    <xf borderId="1" fillId="6" fontId="6" numFmtId="165" xfId="0" applyAlignment="1" applyBorder="1" applyFont="1" applyNumberFormat="1">
      <alignment horizontal="center" readingOrder="0" vertical="bottom"/>
    </xf>
    <xf borderId="1" fillId="6" fontId="6" numFmtId="4" xfId="0" applyAlignment="1" applyBorder="1" applyFont="1" applyNumberFormat="1">
      <alignment horizontal="center" vertical="bottom"/>
    </xf>
    <xf borderId="1" fillId="6" fontId="6" numFmtId="1" xfId="0" applyAlignment="1" applyBorder="1" applyFont="1" applyNumberFormat="1">
      <alignment horizontal="center" readingOrder="0" vertical="bottom"/>
    </xf>
    <xf borderId="2" fillId="6" fontId="6" numFmtId="165" xfId="0" applyAlignment="1" applyBorder="1" applyFont="1" applyNumberFormat="1">
      <alignment horizontal="center" vertical="bottom"/>
    </xf>
    <xf borderId="2" fillId="6" fontId="7" numFmtId="165" xfId="0" applyAlignment="1" applyBorder="1" applyFont="1" applyNumberFormat="1">
      <alignment horizontal="center" vertical="bottom"/>
    </xf>
    <xf borderId="2" fillId="7" fontId="6" numFmtId="165" xfId="0" applyAlignment="1" applyBorder="1" applyFill="1" applyFont="1" applyNumberFormat="1">
      <alignment horizontal="center" vertical="bottom"/>
    </xf>
    <xf borderId="0" fillId="8" fontId="8" numFmtId="0" xfId="0" applyAlignment="1" applyFill="1" applyFont="1">
      <alignment horizontal="center" vertical="bottom"/>
    </xf>
    <xf borderId="0" fillId="9" fontId="9" numFmtId="0" xfId="0" applyAlignment="1" applyFill="1" applyFont="1">
      <alignment horizontal="center" shrinkToFit="0" vertical="bottom" wrapText="1"/>
    </xf>
    <xf borderId="0" fillId="9" fontId="10" numFmtId="0" xfId="0" applyAlignment="1" applyFont="1">
      <alignment horizontal="center" shrinkToFit="0" vertical="bottom" wrapText="1"/>
    </xf>
    <xf borderId="0" fillId="6" fontId="4" numFmtId="0" xfId="0" applyAlignment="1" applyFont="1">
      <alignment horizontal="center" readingOrder="0" vertical="bottom"/>
    </xf>
    <xf borderId="0" fillId="10" fontId="11" numFmtId="0" xfId="0" applyAlignment="1" applyFill="1" applyFont="1">
      <alignment horizontal="center" readingOrder="0" vertical="bottom"/>
    </xf>
    <xf borderId="0" fillId="11" fontId="12" numFmtId="0" xfId="0" applyAlignment="1" applyFill="1" applyFont="1">
      <alignment horizontal="center" readingOrder="0" vertical="bottom"/>
    </xf>
    <xf borderId="0" fillId="11" fontId="12" numFmtId="0" xfId="0" applyAlignment="1" applyFont="1">
      <alignment horizontal="center" vertical="bottom"/>
    </xf>
    <xf borderId="0" fillId="12" fontId="2" numFmtId="0" xfId="0" applyAlignment="1" applyFill="1" applyFont="1">
      <alignment vertical="bottom"/>
    </xf>
    <xf borderId="0" fillId="13" fontId="2" numFmtId="0" xfId="0" applyAlignment="1" applyFill="1" applyFont="1">
      <alignment vertical="bottom"/>
    </xf>
    <xf borderId="3" fillId="13" fontId="2" numFmtId="0" xfId="0" applyAlignment="1" applyBorder="1" applyFont="1">
      <alignment vertical="bottom"/>
    </xf>
    <xf borderId="0" fillId="14" fontId="2" numFmtId="164" xfId="0" applyAlignment="1" applyFill="1" applyFont="1" applyNumberFormat="1">
      <alignment vertical="bottom"/>
    </xf>
    <xf borderId="0" fillId="13" fontId="2" numFmtId="164" xfId="0" applyAlignment="1" applyFont="1" applyNumberFormat="1">
      <alignment horizontal="center" readingOrder="0" vertical="bottom"/>
    </xf>
    <xf borderId="4" fillId="13" fontId="2" numFmtId="0" xfId="0" applyAlignment="1" applyBorder="1" applyFont="1">
      <alignment vertical="bottom"/>
    </xf>
    <xf borderId="0" fillId="5" fontId="12" numFmtId="0" xfId="0" applyAlignment="1" applyFont="1">
      <alignment horizontal="center" vertical="bottom"/>
    </xf>
    <xf borderId="0" fillId="5" fontId="13" numFmtId="0" xfId="0" applyAlignment="1" applyFont="1">
      <alignment horizontal="center" vertical="bottom"/>
    </xf>
    <xf borderId="0" fillId="5" fontId="13" numFmtId="4" xfId="0" applyAlignment="1" applyFont="1" applyNumberFormat="1">
      <alignment horizontal="center" vertical="bottom"/>
    </xf>
    <xf borderId="5" fillId="4" fontId="14" numFmtId="4" xfId="0" applyAlignment="1" applyBorder="1" applyFont="1" applyNumberFormat="1">
      <alignment horizontal="center" readingOrder="0" vertical="bottom"/>
    </xf>
    <xf borderId="0" fillId="13" fontId="15" numFmtId="3" xfId="0" applyAlignment="1" applyFont="1" applyNumberFormat="1">
      <alignment horizontal="center" vertical="bottom"/>
    </xf>
    <xf borderId="0" fillId="15" fontId="16" numFmtId="4" xfId="0" applyAlignment="1" applyFill="1" applyFont="1" applyNumberFormat="1">
      <alignment horizontal="center" vertical="bottom"/>
    </xf>
    <xf borderId="0" fillId="16" fontId="17" numFmtId="4" xfId="0" applyAlignment="1" applyFill="1" applyFont="1" applyNumberFormat="1">
      <alignment horizontal="center" vertical="bottom"/>
    </xf>
    <xf borderId="5" fillId="0" fontId="18" numFmtId="0" xfId="0" applyBorder="1" applyFont="1"/>
    <xf borderId="5" fillId="13" fontId="19" numFmtId="0" xfId="0" applyAlignment="1" applyBorder="1" applyFont="1">
      <alignment horizontal="center" vertical="bottom"/>
    </xf>
    <xf borderId="0" fillId="17" fontId="12" numFmtId="0" xfId="0" applyAlignment="1" applyFill="1" applyFont="1">
      <alignment vertical="bottom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8" fillId="0" fontId="18" numFmtId="0" xfId="0" applyBorder="1" applyFont="1"/>
    <xf borderId="0" fillId="13" fontId="2" numFmtId="0" xfId="0" applyAlignment="1" applyFont="1">
      <alignment horizontal="center" vertical="bottom"/>
    </xf>
    <xf borderId="0" fillId="18" fontId="2" numFmtId="166" xfId="0" applyAlignment="1" applyFill="1" applyFont="1" applyNumberFormat="1">
      <alignment horizontal="center" readingOrder="0" vertical="bottom"/>
    </xf>
    <xf borderId="0" fillId="0" fontId="20" numFmtId="167" xfId="0" applyAlignment="1" applyFont="1" applyNumberFormat="1">
      <alignment horizontal="center" readingOrder="0" textRotation="45" vertical="center"/>
    </xf>
    <xf borderId="0" fillId="13" fontId="21" numFmtId="164" xfId="0" applyAlignment="1" applyFont="1" applyNumberFormat="1">
      <alignment horizontal="center" readingOrder="0" vertical="bottom"/>
    </xf>
    <xf borderId="0" fillId="13" fontId="12" numFmtId="164" xfId="0" applyAlignment="1" applyFont="1" applyNumberFormat="1">
      <alignment horizontal="center" vertical="bottom"/>
    </xf>
    <xf borderId="0" fillId="4" fontId="12" numFmtId="0" xfId="0" applyAlignment="1" applyFont="1">
      <alignment horizontal="center" readingOrder="0" vertical="bottom"/>
    </xf>
    <xf borderId="0" fillId="11" fontId="11" numFmtId="167" xfId="0" applyAlignment="1" applyFont="1" applyNumberFormat="1">
      <alignment horizontal="center" readingOrder="0" vertical="bottom"/>
    </xf>
    <xf borderId="0" fillId="11" fontId="11" numFmtId="0" xfId="0" applyAlignment="1" applyFont="1">
      <alignment horizontal="center" readingOrder="0" vertical="bottom"/>
    </xf>
    <xf borderId="0" fillId="13" fontId="22" numFmtId="0" xfId="0" applyAlignment="1" applyFont="1">
      <alignment horizontal="center" readingOrder="0" vertical="bottom"/>
    </xf>
    <xf borderId="0" fillId="3" fontId="2" numFmtId="0" xfId="0" applyAlignment="1" applyFont="1">
      <alignment vertical="bottom"/>
    </xf>
    <xf borderId="0" fillId="11" fontId="2" numFmtId="167" xfId="0" applyAlignment="1" applyFont="1" applyNumberFormat="1">
      <alignment vertical="bottom"/>
    </xf>
    <xf borderId="0" fillId="0" fontId="20" numFmtId="167" xfId="0" applyAlignment="1" applyFont="1" applyNumberFormat="1">
      <alignment horizontal="center" textRotation="45"/>
    </xf>
    <xf borderId="0" fillId="0" fontId="20" numFmtId="167" xfId="0" applyAlignment="1" applyFont="1" applyNumberFormat="1">
      <alignment horizontal="center" readingOrder="0" textRotation="45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1628775</xdr:colOff>
      <xdr:row>0</xdr:row>
      <xdr:rowOff>0</xdr:rowOff>
    </xdr:from>
    <xdr:ext cx="1952625" cy="27241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4.0" topLeftCell="A15" activePane="bottomLeft" state="frozen"/>
      <selection activeCell="B16" sqref="B16" pane="bottomLeft"/>
    </sheetView>
  </sheetViews>
  <sheetFormatPr customHeight="1" defaultColWidth="12.63" defaultRowHeight="15.75"/>
  <cols>
    <col customWidth="1" min="1" max="1" width="18.13"/>
    <col customWidth="1" min="2" max="2" width="18.63"/>
    <col customWidth="1" min="3" max="3" width="16.63"/>
    <col customWidth="1" min="4" max="4" width="19.5"/>
    <col customWidth="1" min="5" max="5" width="15.88"/>
    <col customWidth="1" min="6" max="6" width="16.25"/>
    <col customWidth="1" min="7" max="7" width="17.0"/>
    <col customWidth="1" min="8" max="8" width="22.0"/>
    <col customWidth="1" min="9" max="9" width="2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8</v>
      </c>
      <c r="B2" s="5" t="s">
        <v>9</v>
      </c>
      <c r="C2" s="6">
        <v>2024.0</v>
      </c>
      <c r="D2" s="4" t="s">
        <v>10</v>
      </c>
      <c r="E2" s="7" t="s">
        <v>11</v>
      </c>
      <c r="F2" s="8" t="s">
        <v>12</v>
      </c>
      <c r="G2" s="9">
        <v>5000000.0</v>
      </c>
      <c r="H2" s="9">
        <v>400000.0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/>
      <c r="B3" s="10"/>
      <c r="C3" s="10"/>
      <c r="D3" s="10"/>
      <c r="E3" s="10"/>
      <c r="F3" s="10"/>
      <c r="G3" s="10"/>
      <c r="H3" s="1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1" t="s">
        <v>13</v>
      </c>
      <c r="B4" s="12" t="s">
        <v>14</v>
      </c>
      <c r="C4" s="12" t="s">
        <v>15</v>
      </c>
      <c r="D4" s="12" t="s">
        <v>16</v>
      </c>
      <c r="E4" s="12" t="s">
        <v>17</v>
      </c>
      <c r="F4" s="12" t="s">
        <v>18</v>
      </c>
      <c r="G4" s="12" t="s">
        <v>19</v>
      </c>
      <c r="H4" s="12" t="s">
        <v>20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3">
        <f>G2-H2</f>
        <v>4600000</v>
      </c>
      <c r="B5" s="14">
        <v>2.2566</v>
      </c>
      <c r="C5" s="15">
        <f>A5*B5</f>
        <v>10380360</v>
      </c>
      <c r="D5" s="16">
        <v>18.0</v>
      </c>
      <c r="E5" s="17">
        <f>C5/D5</f>
        <v>576686.6667</v>
      </c>
      <c r="F5" s="18">
        <f t="shared" ref="F5:G5" si="1">E5/2</f>
        <v>288343.3333</v>
      </c>
      <c r="G5" s="19">
        <f t="shared" si="1"/>
        <v>144171.6667</v>
      </c>
      <c r="H5" s="17">
        <f>G5/6</f>
        <v>24028.61111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0" t="s">
        <v>21</v>
      </c>
      <c r="B6" s="20" t="s">
        <v>22</v>
      </c>
      <c r="C6" s="20" t="s">
        <v>23</v>
      </c>
      <c r="D6" s="20" t="s">
        <v>24</v>
      </c>
      <c r="E6" s="20" t="s">
        <v>25</v>
      </c>
      <c r="F6" s="21" t="s">
        <v>26</v>
      </c>
      <c r="G6" s="22" t="s">
        <v>27</v>
      </c>
      <c r="H6" s="22" t="s">
        <v>28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23" t="s">
        <v>29</v>
      </c>
      <c r="B7" s="23" t="s">
        <v>30</v>
      </c>
      <c r="C7" s="23">
        <v>1.143413353E9</v>
      </c>
      <c r="D7" s="23" t="s">
        <v>31</v>
      </c>
      <c r="E7" s="24">
        <v>3.245386158E9</v>
      </c>
      <c r="F7" s="25" t="s">
        <v>32</v>
      </c>
      <c r="G7" s="26" t="s">
        <v>32</v>
      </c>
      <c r="H7" s="27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28"/>
      <c r="B8" s="28"/>
      <c r="C8" s="28"/>
      <c r="D8" s="28"/>
      <c r="E8" s="29"/>
      <c r="F8" s="30"/>
      <c r="G8" s="31"/>
      <c r="H8" s="3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3" t="s">
        <v>33</v>
      </c>
      <c r="C9" s="34" t="s">
        <v>34</v>
      </c>
      <c r="E9" s="35" t="s">
        <v>35</v>
      </c>
      <c r="G9" s="35" t="s">
        <v>36</v>
      </c>
      <c r="H9" s="36" t="s">
        <v>16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7">
        <f>I16+I27+I38+I49+I60</f>
        <v>2671000</v>
      </c>
      <c r="C10" s="38">
        <f>C5-A10</f>
        <v>7709360</v>
      </c>
      <c r="E10" s="39">
        <f>C10+G10</f>
        <v>7709360</v>
      </c>
      <c r="G10" s="30"/>
      <c r="H10" s="40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H11" s="41">
        <f>I23+I34+I45+I56+I67</f>
        <v>4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2" t="s">
        <v>37</v>
      </c>
      <c r="E12" s="43"/>
      <c r="F12" s="44"/>
      <c r="G12" s="44"/>
      <c r="H12" s="45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6" t="s">
        <v>38</v>
      </c>
      <c r="B15" s="46" t="s">
        <v>39</v>
      </c>
      <c r="C15" s="46" t="s">
        <v>38</v>
      </c>
      <c r="D15" s="46" t="s">
        <v>39</v>
      </c>
      <c r="E15" s="46" t="s">
        <v>38</v>
      </c>
      <c r="F15" s="46" t="s">
        <v>39</v>
      </c>
      <c r="G15" s="46" t="s">
        <v>38</v>
      </c>
      <c r="H15" s="46" t="s">
        <v>39</v>
      </c>
      <c r="I15" s="28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7">
        <v>46041.0</v>
      </c>
      <c r="B16" s="48">
        <v>94000.0</v>
      </c>
      <c r="C16" s="47">
        <v>46048.0</v>
      </c>
      <c r="D16" s="48">
        <v>144000.0</v>
      </c>
      <c r="E16" s="47">
        <v>46055.0</v>
      </c>
      <c r="F16" s="48">
        <v>144000.0</v>
      </c>
      <c r="G16" s="47">
        <v>46062.0</v>
      </c>
      <c r="H16" s="48">
        <v>144000.0</v>
      </c>
      <c r="I16" s="49">
        <f>B22+D22+F22+H22</f>
        <v>526000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7">
        <v>46042.0</v>
      </c>
      <c r="C17" s="47">
        <v>46049.0</v>
      </c>
      <c r="E17" s="47">
        <v>46056.0</v>
      </c>
      <c r="G17" s="47">
        <v>46063.0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7">
        <v>46043.0</v>
      </c>
      <c r="C18" s="47">
        <v>46050.0</v>
      </c>
      <c r="E18" s="47">
        <v>46057.0</v>
      </c>
      <c r="G18" s="47">
        <v>46064.0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7">
        <v>46044.0</v>
      </c>
      <c r="C19" s="47">
        <v>46051.0</v>
      </c>
      <c r="E19" s="47">
        <v>46058.0</v>
      </c>
      <c r="G19" s="47">
        <v>46065.0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7">
        <v>46045.0</v>
      </c>
      <c r="C20" s="47">
        <v>46052.0</v>
      </c>
      <c r="E20" s="47">
        <v>46059.0</v>
      </c>
      <c r="G20" s="47">
        <v>46066.0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47">
        <v>46046.0</v>
      </c>
      <c r="C21" s="47">
        <v>46053.0</v>
      </c>
      <c r="E21" s="47">
        <v>46060.0</v>
      </c>
      <c r="G21" s="47">
        <v>46067.0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28"/>
      <c r="B22" s="50">
        <f>SUM(B16:B21)</f>
        <v>94000</v>
      </c>
      <c r="C22" s="28"/>
      <c r="D22" s="50">
        <f>SUM(D16:D21)</f>
        <v>144000</v>
      </c>
      <c r="E22" s="28"/>
      <c r="F22" s="50">
        <f>SUM(F16:F21)</f>
        <v>144000</v>
      </c>
      <c r="G22" s="28"/>
      <c r="H22" s="50">
        <f>SUM(H16:H21)</f>
        <v>144000</v>
      </c>
      <c r="I22" s="51">
        <v>1.0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46" t="s">
        <v>40</v>
      </c>
      <c r="B23" s="52" t="s">
        <v>41</v>
      </c>
      <c r="C23" s="46" t="s">
        <v>40</v>
      </c>
      <c r="D23" s="52" t="s">
        <v>42</v>
      </c>
      <c r="E23" s="46" t="s">
        <v>40</v>
      </c>
      <c r="F23" s="53" t="s">
        <v>43</v>
      </c>
      <c r="G23" s="46" t="s">
        <v>40</v>
      </c>
      <c r="H23" s="52" t="s">
        <v>44</v>
      </c>
      <c r="I23" s="54">
        <v>1.0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55"/>
      <c r="B24" s="55"/>
      <c r="C24" s="55"/>
      <c r="D24" s="55"/>
      <c r="E24" s="55"/>
      <c r="F24" s="55"/>
      <c r="G24" s="55"/>
      <c r="H24" s="55"/>
      <c r="I24" s="55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6" t="s">
        <v>38</v>
      </c>
      <c r="B26" s="46" t="s">
        <v>39</v>
      </c>
      <c r="C26" s="46" t="s">
        <v>38</v>
      </c>
      <c r="D26" s="46" t="s">
        <v>39</v>
      </c>
      <c r="E26" s="46" t="s">
        <v>38</v>
      </c>
      <c r="F26" s="46" t="s">
        <v>39</v>
      </c>
      <c r="G26" s="46" t="s">
        <v>38</v>
      </c>
      <c r="H26" s="46" t="s">
        <v>39</v>
      </c>
      <c r="I26" s="28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47">
        <v>46069.0</v>
      </c>
      <c r="B27" s="48">
        <v>144000.0</v>
      </c>
      <c r="C27" s="47">
        <v>46076.0</v>
      </c>
      <c r="D27" s="48">
        <v>150000.0</v>
      </c>
      <c r="E27" s="47">
        <v>46083.0</v>
      </c>
      <c r="F27" s="48">
        <v>144000.0</v>
      </c>
      <c r="G27" s="47">
        <v>46090.0</v>
      </c>
      <c r="H27" s="48">
        <v>145000.0</v>
      </c>
      <c r="I27" s="49">
        <f>B33+D33+F33+H33</f>
        <v>583000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47">
        <v>46070.0</v>
      </c>
      <c r="C28" s="47">
        <v>46077.0</v>
      </c>
      <c r="E28" s="47">
        <v>46084.0</v>
      </c>
      <c r="G28" s="47">
        <v>46091.0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47">
        <v>46071.0</v>
      </c>
      <c r="C29" s="47">
        <v>46078.0</v>
      </c>
      <c r="E29" s="47">
        <v>46085.0</v>
      </c>
      <c r="G29" s="47">
        <v>46092.0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47">
        <v>46072.0</v>
      </c>
      <c r="C30" s="47">
        <v>46079.0</v>
      </c>
      <c r="E30" s="47">
        <v>46086.0</v>
      </c>
      <c r="G30" s="47">
        <v>46093.0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47">
        <v>46073.0</v>
      </c>
      <c r="C31" s="47">
        <v>46080.0</v>
      </c>
      <c r="E31" s="47">
        <v>46087.0</v>
      </c>
      <c r="G31" s="47">
        <v>46094.0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47">
        <v>46074.0</v>
      </c>
      <c r="C32" s="47">
        <v>46081.0</v>
      </c>
      <c r="E32" s="47">
        <v>46088.0</v>
      </c>
      <c r="G32" s="47">
        <v>46095.0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8"/>
      <c r="B33" s="50">
        <f>SUM(B27:B32)</f>
        <v>144000</v>
      </c>
      <c r="C33" s="28"/>
      <c r="D33" s="50">
        <f>SUM(D27:D32)</f>
        <v>150000</v>
      </c>
      <c r="E33" s="28"/>
      <c r="F33" s="50">
        <f>SUM(F27:F32)</f>
        <v>144000</v>
      </c>
      <c r="G33" s="28"/>
      <c r="H33" s="50">
        <f>SUM(H27:H32)</f>
        <v>145000</v>
      </c>
      <c r="I33" s="51">
        <v>2.0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46" t="s">
        <v>40</v>
      </c>
      <c r="B34" s="52" t="s">
        <v>45</v>
      </c>
      <c r="C34" s="46" t="s">
        <v>40</v>
      </c>
      <c r="D34" s="52" t="s">
        <v>46</v>
      </c>
      <c r="E34" s="46" t="s">
        <v>40</v>
      </c>
      <c r="F34" s="52" t="s">
        <v>47</v>
      </c>
      <c r="G34" s="46" t="s">
        <v>40</v>
      </c>
      <c r="H34" s="52" t="s">
        <v>48</v>
      </c>
      <c r="I34" s="54">
        <v>1.0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55"/>
      <c r="B35" s="55"/>
      <c r="C35" s="55"/>
      <c r="D35" s="55"/>
      <c r="E35" s="55"/>
      <c r="F35" s="55"/>
      <c r="G35" s="55"/>
      <c r="H35" s="55"/>
      <c r="I35" s="55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6" t="s">
        <v>38</v>
      </c>
      <c r="B37" s="46" t="s">
        <v>39</v>
      </c>
      <c r="C37" s="46" t="s">
        <v>38</v>
      </c>
      <c r="D37" s="46" t="s">
        <v>39</v>
      </c>
      <c r="E37" s="46" t="s">
        <v>38</v>
      </c>
      <c r="F37" s="46" t="s">
        <v>39</v>
      </c>
      <c r="G37" s="46" t="s">
        <v>38</v>
      </c>
      <c r="H37" s="46" t="s">
        <v>39</v>
      </c>
      <c r="I37" s="28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7">
        <v>46097.0</v>
      </c>
      <c r="B38" s="48">
        <v>144000.0</v>
      </c>
      <c r="C38" s="47">
        <v>46104.0</v>
      </c>
      <c r="D38" s="48">
        <v>144000.0</v>
      </c>
      <c r="E38" s="47">
        <v>46111.0</v>
      </c>
      <c r="F38" s="48">
        <v>122000.0</v>
      </c>
      <c r="G38" s="47">
        <v>46118.0</v>
      </c>
      <c r="H38" s="48">
        <v>144000.0</v>
      </c>
      <c r="I38" s="49">
        <f>B44+D44+F44+H44</f>
        <v>554000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7">
        <v>46098.0</v>
      </c>
      <c r="C39" s="47">
        <v>46105.0</v>
      </c>
      <c r="E39" s="47">
        <v>46112.0</v>
      </c>
      <c r="G39" s="47">
        <v>46119.0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7">
        <v>46099.0</v>
      </c>
      <c r="C40" s="47">
        <v>46106.0</v>
      </c>
      <c r="E40" s="47">
        <v>46113.0</v>
      </c>
      <c r="G40" s="47">
        <v>46120.0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7">
        <v>46100.0</v>
      </c>
      <c r="C41" s="47">
        <v>46107.0</v>
      </c>
      <c r="E41" s="47">
        <v>46114.0</v>
      </c>
      <c r="G41" s="47">
        <v>46121.0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7">
        <v>46101.0</v>
      </c>
      <c r="C42" s="47">
        <v>46108.0</v>
      </c>
      <c r="E42" s="47">
        <v>46115.0</v>
      </c>
      <c r="G42" s="47">
        <v>46122.0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7">
        <v>46102.0</v>
      </c>
      <c r="C43" s="47">
        <v>46109.0</v>
      </c>
      <c r="E43" s="47">
        <v>46116.0</v>
      </c>
      <c r="G43" s="47">
        <v>46123.0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28"/>
      <c r="B44" s="50">
        <f>SUM(B38:B43)</f>
        <v>144000</v>
      </c>
      <c r="C44" s="28"/>
      <c r="D44" s="50">
        <f>SUM(D38:D43)</f>
        <v>144000</v>
      </c>
      <c r="E44" s="28"/>
      <c r="F44" s="50">
        <f>SUM(F38:F43)</f>
        <v>122000</v>
      </c>
      <c r="G44" s="28"/>
      <c r="H44" s="50">
        <f>SUM(H38:H43)</f>
        <v>144000</v>
      </c>
      <c r="I44" s="51">
        <v>3.0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6" t="s">
        <v>40</v>
      </c>
      <c r="B45" s="52" t="s">
        <v>49</v>
      </c>
      <c r="C45" s="46" t="s">
        <v>40</v>
      </c>
      <c r="D45" s="56"/>
      <c r="E45" s="46" t="s">
        <v>40</v>
      </c>
      <c r="F45" s="52" t="s">
        <v>50</v>
      </c>
      <c r="G45" s="46" t="s">
        <v>40</v>
      </c>
      <c r="H45" s="52" t="s">
        <v>51</v>
      </c>
      <c r="I45" s="54">
        <v>1.0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55"/>
      <c r="B46" s="55"/>
      <c r="C46" s="55"/>
      <c r="D46" s="55"/>
      <c r="E46" s="55"/>
      <c r="F46" s="55"/>
      <c r="G46" s="55"/>
      <c r="H46" s="55"/>
      <c r="I46" s="55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6" t="s">
        <v>38</v>
      </c>
      <c r="B48" s="46" t="s">
        <v>39</v>
      </c>
      <c r="C48" s="46" t="s">
        <v>38</v>
      </c>
      <c r="D48" s="46" t="s">
        <v>39</v>
      </c>
      <c r="E48" s="46" t="s">
        <v>38</v>
      </c>
      <c r="F48" s="46" t="s">
        <v>39</v>
      </c>
      <c r="G48" s="46" t="s">
        <v>38</v>
      </c>
      <c r="H48" s="46" t="s">
        <v>39</v>
      </c>
      <c r="I48" s="28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7">
        <v>46125.0</v>
      </c>
      <c r="B49" s="48">
        <v>144000.0</v>
      </c>
      <c r="C49" s="47">
        <v>46132.0</v>
      </c>
      <c r="D49" s="57">
        <v>144000.0</v>
      </c>
      <c r="E49" s="47">
        <v>46139.0</v>
      </c>
      <c r="F49" s="58">
        <v>144000.0</v>
      </c>
      <c r="G49" s="47">
        <v>46146.0</v>
      </c>
      <c r="H49" s="57">
        <v>144000.0</v>
      </c>
      <c r="I49" s="49">
        <f>B55+D55+F55+H55</f>
        <v>576000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7">
        <v>46126.0</v>
      </c>
      <c r="C50" s="47">
        <v>46133.0</v>
      </c>
      <c r="E50" s="47">
        <v>46140.0</v>
      </c>
      <c r="G50" s="47">
        <v>46147.0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7">
        <v>46127.0</v>
      </c>
      <c r="C51" s="47">
        <v>46134.0</v>
      </c>
      <c r="E51" s="47">
        <v>46141.0</v>
      </c>
      <c r="G51" s="47">
        <v>46148.0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7">
        <v>46128.0</v>
      </c>
      <c r="C52" s="47">
        <v>46135.0</v>
      </c>
      <c r="E52" s="47">
        <v>46142.0</v>
      </c>
      <c r="G52" s="47">
        <v>46149.0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47">
        <v>46129.0</v>
      </c>
      <c r="C53" s="47">
        <v>46136.0</v>
      </c>
      <c r="E53" s="47">
        <v>46143.0</v>
      </c>
      <c r="G53" s="47">
        <v>46150.0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47">
        <v>46130.0</v>
      </c>
      <c r="C54" s="47">
        <v>46137.0</v>
      </c>
      <c r="E54" s="47">
        <v>46144.0</v>
      </c>
      <c r="G54" s="47">
        <v>46151.0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28"/>
      <c r="B55" s="50">
        <f>SUM(B49:B54)</f>
        <v>144000</v>
      </c>
      <c r="C55" s="28"/>
      <c r="D55" s="50">
        <f>SUM(D49:D54)</f>
        <v>144000</v>
      </c>
      <c r="E55" s="28"/>
      <c r="F55" s="50">
        <f>SUM(F49:F54)</f>
        <v>144000</v>
      </c>
      <c r="G55" s="28"/>
      <c r="H55" s="50">
        <f>SUM(H49:H54)</f>
        <v>144000</v>
      </c>
      <c r="I55" s="51">
        <v>4.0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46" t="s">
        <v>40</v>
      </c>
      <c r="B56" s="53"/>
      <c r="C56" s="46" t="s">
        <v>40</v>
      </c>
      <c r="D56" s="53">
        <v>9943846.0</v>
      </c>
      <c r="E56" s="46" t="s">
        <v>40</v>
      </c>
      <c r="F56" s="56"/>
      <c r="G56" s="46" t="s">
        <v>40</v>
      </c>
      <c r="H56" s="52" t="s">
        <v>52</v>
      </c>
      <c r="I56" s="54">
        <v>1.0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55"/>
      <c r="B57" s="55"/>
      <c r="C57" s="55"/>
      <c r="D57" s="55"/>
      <c r="E57" s="55"/>
      <c r="F57" s="55"/>
      <c r="G57" s="55"/>
      <c r="H57" s="55"/>
      <c r="I57" s="55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46" t="s">
        <v>38</v>
      </c>
      <c r="B59" s="46" t="s">
        <v>39</v>
      </c>
      <c r="C59" s="46" t="s">
        <v>38</v>
      </c>
      <c r="D59" s="46" t="s">
        <v>39</v>
      </c>
      <c r="E59" s="46" t="s">
        <v>38</v>
      </c>
      <c r="F59" s="46" t="s">
        <v>39</v>
      </c>
      <c r="G59" s="46" t="s">
        <v>38</v>
      </c>
      <c r="H59" s="46" t="s">
        <v>39</v>
      </c>
      <c r="I59" s="28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7">
        <v>46153.0</v>
      </c>
      <c r="B60" s="48">
        <v>144000.0</v>
      </c>
      <c r="C60" s="47">
        <v>46160.0</v>
      </c>
      <c r="D60" s="48">
        <v>144000.0</v>
      </c>
      <c r="E60" s="47">
        <v>46167.0</v>
      </c>
      <c r="F60" s="48">
        <v>144000.0</v>
      </c>
      <c r="G60" s="47">
        <v>46174.0</v>
      </c>
      <c r="H60" s="48"/>
      <c r="I60" s="49">
        <f>B66+D66+F66+H66</f>
        <v>432000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47">
        <v>46154.0</v>
      </c>
      <c r="C61" s="47">
        <v>46161.0</v>
      </c>
      <c r="E61" s="47">
        <v>46168.0</v>
      </c>
      <c r="G61" s="47">
        <v>46175.0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47">
        <v>46155.0</v>
      </c>
      <c r="C62" s="47">
        <v>46162.0</v>
      </c>
      <c r="E62" s="47">
        <v>46169.0</v>
      </c>
      <c r="G62" s="47">
        <v>46176.0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47">
        <v>46156.0</v>
      </c>
      <c r="C63" s="47">
        <v>46163.0</v>
      </c>
      <c r="E63" s="47">
        <v>46170.0</v>
      </c>
      <c r="G63" s="47">
        <v>46177.0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47">
        <v>46157.0</v>
      </c>
      <c r="C64" s="47">
        <v>46164.0</v>
      </c>
      <c r="E64" s="47">
        <v>46171.0</v>
      </c>
      <c r="G64" s="47">
        <v>46178.0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47">
        <v>46158.0</v>
      </c>
      <c r="C65" s="47">
        <v>46165.0</v>
      </c>
      <c r="E65" s="47">
        <v>46172.0</v>
      </c>
      <c r="G65" s="47">
        <v>46179.0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28"/>
      <c r="B66" s="50">
        <f>SUM(B60:B65)</f>
        <v>144000</v>
      </c>
      <c r="C66" s="28"/>
      <c r="D66" s="50">
        <f>SUM(D60:D65)</f>
        <v>144000</v>
      </c>
      <c r="E66" s="28"/>
      <c r="F66" s="50">
        <f>SUM(F60:F65)</f>
        <v>144000</v>
      </c>
      <c r="G66" s="28"/>
      <c r="H66" s="50">
        <f>SUM(H60:H65)</f>
        <v>0</v>
      </c>
      <c r="I66" s="51">
        <v>5.0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46" t="s">
        <v>40</v>
      </c>
      <c r="B67" s="52" t="s">
        <v>53</v>
      </c>
      <c r="C67" s="46" t="s">
        <v>40</v>
      </c>
      <c r="D67" s="52" t="s">
        <v>54</v>
      </c>
      <c r="E67" s="46" t="s">
        <v>40</v>
      </c>
      <c r="F67" s="56"/>
      <c r="G67" s="46" t="s">
        <v>40</v>
      </c>
      <c r="H67" s="56"/>
      <c r="I67" s="54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55"/>
      <c r="B68" s="55"/>
      <c r="C68" s="55"/>
      <c r="D68" s="55"/>
      <c r="E68" s="55"/>
      <c r="F68" s="55"/>
      <c r="G68" s="55"/>
      <c r="H68" s="55"/>
      <c r="I68" s="55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6">
    <mergeCell ref="E10:F11"/>
    <mergeCell ref="G10:G11"/>
    <mergeCell ref="I1:I12"/>
    <mergeCell ref="A9:B9"/>
    <mergeCell ref="C9:D9"/>
    <mergeCell ref="E9:F9"/>
    <mergeCell ref="H9:H10"/>
    <mergeCell ref="A10:B11"/>
    <mergeCell ref="H11:H12"/>
    <mergeCell ref="H16:H21"/>
    <mergeCell ref="H27:H32"/>
    <mergeCell ref="H38:H43"/>
    <mergeCell ref="I38:I43"/>
    <mergeCell ref="H49:H54"/>
    <mergeCell ref="I49:I54"/>
    <mergeCell ref="H60:H65"/>
    <mergeCell ref="I60:I65"/>
    <mergeCell ref="C10:D11"/>
    <mergeCell ref="A12:D12"/>
    <mergeCell ref="B16:B21"/>
    <mergeCell ref="F16:F21"/>
    <mergeCell ref="I16:I21"/>
    <mergeCell ref="B27:B32"/>
    <mergeCell ref="F27:F32"/>
    <mergeCell ref="I27:I32"/>
    <mergeCell ref="B49:B54"/>
    <mergeCell ref="B60:B65"/>
    <mergeCell ref="D60:D65"/>
    <mergeCell ref="F60:F65"/>
    <mergeCell ref="D16:D21"/>
    <mergeCell ref="D27:D32"/>
    <mergeCell ref="B38:B43"/>
    <mergeCell ref="D38:D43"/>
    <mergeCell ref="F38:F43"/>
    <mergeCell ref="D49:D54"/>
    <mergeCell ref="F49:F54"/>
  </mergeCells>
  <drawing r:id="rId1"/>
</worksheet>
</file>