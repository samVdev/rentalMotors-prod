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<sst xmlns="http://schemas.openxmlformats.org/spreadsheetml/2006/main" count="159" uniqueCount="58">
  <si>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</si>
  <si>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</si>
  <si>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</si>
  <si>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</si>
  <si>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</si>
  <si>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</si>
  <si>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</si>
  <si>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</si>
  <si>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</si>
  <si>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BERA</t>
  </si>
  <si>
    <t>SBR150</t>
  </si>
  <si>
    <t>UGO53H</t>
  </si>
  <si>
    <t>39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</si>
  <si>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</si>
  <si>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</si>
  <si>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</si>
  <si>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</si>
  <si>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</si>
  <si>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</si>
  <si>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</si>
  <si>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</si>
  <si>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</si>
  <si>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</si>
  <si>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 xml:space="preserve">CEDULA </t>
  </si>
  <si>
    <t xml:space="preserve">NACIONALIDAD </t>
  </si>
  <si>
    <t>NUMERO</t>
  </si>
  <si>
    <t>SOAT</t>
  </si>
  <si>
    <t>Traspaso de propiedad</t>
  </si>
  <si>
    <t>PRESTAMO.</t>
  </si>
  <si>
    <t>ERIK FERNANDO</t>
  </si>
  <si>
    <t>SALAZAR</t>
  </si>
  <si>
    <t>PPT -5383521</t>
  </si>
  <si>
    <t>VENEZOLANO</t>
  </si>
  <si>
    <t>ACTIVO</t>
  </si>
  <si>
    <t>SALDO ACTUAL PAGADO</t>
  </si>
  <si>
    <t>DEUDA  A PAGAR</t>
  </si>
  <si>
    <t>DEUDA TOTAL</t>
  </si>
  <si>
    <t>D. ADQUIRIDA</t>
  </si>
  <si>
    <t>RENTAL MOTORS S.A.S</t>
  </si>
  <si>
    <t>FECHA</t>
  </si>
  <si>
    <t>ABONO</t>
  </si>
  <si>
    <t>REF.</t>
  </si>
  <si>
    <t>M02629925</t>
  </si>
  <si>
    <t>M16437684</t>
  </si>
  <si>
    <t>M05720987</t>
  </si>
  <si>
    <t>M1061742</t>
  </si>
  <si>
    <t>M12039071</t>
  </si>
  <si>
    <t>M18963662</t>
  </si>
  <si>
    <t>M12690057</t>
  </si>
  <si>
    <t>M13930326</t>
  </si>
  <si>
    <r>
      <rPr>
        <rFont val="Arial"/>
        <b/>
        <color rgb="FFFF6D01"/>
        <sz val="30.0"/>
      </rPr>
      <t xml:space="preserve">RENTAL MOTORS S.A.S                                                             </t>
    </r>
    <r>
      <rPr>
        <rFont val="Arial"/>
        <b/>
        <color rgb="FFFF6D01"/>
        <sz val="23.0"/>
      </rPr>
      <t xml:space="preserve">  </t>
    </r>
    <r>
      <rPr>
        <rFont val="Arial"/>
        <b/>
        <color rgb="FFFF6D01"/>
        <sz val="16.0"/>
      </rPr>
      <t>Nit. 901843215-2</t>
    </r>
  </si>
  <si>
    <t xml:space="preserve">FOTO </t>
  </si>
  <si>
    <t xml:space="preserve">CUOTAS TOTALES </t>
  </si>
  <si>
    <t>CUOTAS RESTANTES</t>
  </si>
  <si>
    <t>A2175</t>
  </si>
  <si>
    <t>PULSAR N160</t>
  </si>
  <si>
    <t>BAJAJ</t>
  </si>
  <si>
    <t>RLI49H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</si>
</sst>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.00"/>
    <numFmt numFmtId="165" formatCode="[$ $]#,##0"/>
    <numFmt numFmtId="166" formatCode="dd/mm/yyyy"/>
    <numFmt numFmtId="167" formatCode="&quot;$&quot;#,##0"/>
  </numFmts>
  <fonts count="3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5.0"/>
      <color rgb="FF000000"/>
      <name val="Nunito"/>
    </font>
    <font>
      <b/>
      <sz val="15.0"/>
      <color rgb="FF000000"/>
      <name val="Arial"/>
    </font>
    <font>
      <b/>
      <sz val="10.0"/>
      <color rgb="FFFFFFFF"/>
      <name val="Arial"/>
    </font>
    <font>
      <b/>
      <sz val="10.0"/>
      <color rgb="FF0077D9"/>
      <name val="Arial"/>
    </font>
    <font>
      <b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sz val="11.0"/>
      <color rgb="FFF3F3F3"/>
      <name val="Arial"/>
    </font>
    <font>
      <b/>
      <sz val="11.0"/>
      <color rgb="FFFFFFFF"/>
      <name val="Arial"/>
    </font>
    <font>
      <color rgb="FFFFFFFF"/>
      <name val="Arial"/>
    </font>
    <font>
      <b/>
      <sz val="25.0"/>
      <color rgb="FFFFFFFF"/>
      <name val="Arial"/>
    </font>
    <font>
      <sz val="25.0"/>
      <color theme="1"/>
      <name val="Arial"/>
    </font>
    <font/>
    <font>
      <b/>
      <sz val="25.0"/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30.0"/>
      <color theme="1"/>
      <name val="Arial"/>
    </font>
    <font>
      <b/>
      <color rgb="FF46BDC6"/>
      <name val="Arial"/>
    </font>
    <font>
      <b/>
      <sz val="18.0"/>
      <color rgb="FFFFFFFF"/>
      <name val="Arial"/>
    </font>
    <font>
      <b/>
      <sz val="23.0"/>
      <color rgb="FFFF6D01"/>
      <name val="Arial"/>
    </font>
    <font>
      <sz val="13.0"/>
      <color theme="1"/>
      <name val="Arial"/>
    </font>
    <font>
      <b/>
      <sz val="32.0"/>
      <color theme="1"/>
      <name val="Arial"/>
    </font>
    <font>
      <b/>
      <sz val="13.0"/>
      <color rgb="FFFFFFFF"/>
      <name val="Arial"/>
    </font>
    <font>
      <b/>
      <sz val="15.0"/>
      <color rgb="FFFFFFFF"/>
      <name val="Arial"/>
    </font>
    <font>
      <b/>
      <sz val="23.0"/>
      <color theme="1"/>
      <name val="Arial"/>
    </font>
    <font>
      <b/>
      <sz val="30.0"/>
      <color theme="1"/>
      <name val="Arial"/>
    </font>
    <font>
      <b/>
      <sz val="14.0"/>
      <color rgb="FFFFFFFF"/>
      <name val="Nunito"/>
    </font>
    <font>
      <b/>
      <sz val="14.0"/>
      <color rgb="FF0077D9"/>
      <name val="Arial"/>
    </font>
    <font>
      <b/>
      <sz val="11.0"/>
      <color rgb="FF0077D9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0AD279"/>
        <bgColor rgb="FF0AD279"/>
      </patternFill>
    </fill>
    <fill>
      <patternFill patternType="solid">
        <fgColor rgb="FFD91616"/>
        <bgColor rgb="FFD91616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22">
    <border/>
    <border>
      <bottom style="thin">
        <color rgb="FF000000"/>
      </bottom>
    </border>
    <border>
      <left style="thin">
        <color rgb="FF4285F4"/>
      </left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1" xfId="0" applyAlignment="1" applyBorder="1" applyFont="1" applyNumberFormat="1">
      <alignment horizontal="center" vertical="bottom"/>
    </xf>
    <xf borderId="1" fillId="4" fontId="3" numFmtId="49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0" fillId="5" fontId="2" numFmtId="0" xfId="0" applyAlignment="1" applyFill="1" applyFont="1">
      <alignment vertical="bottom"/>
    </xf>
    <xf borderId="0" fillId="6" fontId="4" numFmtId="0" xfId="0" applyAlignment="1" applyFill="1" applyFont="1">
      <alignment horizontal="center" shrinkToFit="0" vertical="bottom" wrapText="1"/>
    </xf>
    <xf borderId="0" fillId="6" fontId="4" numFmtId="0" xfId="0" applyAlignment="1" applyFont="1">
      <alignment horizontal="center" vertical="bottom"/>
    </xf>
    <xf borderId="0" fillId="7" fontId="5" numFmtId="165" xfId="0" applyAlignment="1" applyFill="1" applyFont="1" applyNumberFormat="1">
      <alignment horizontal="center" vertical="bottom"/>
    </xf>
    <xf borderId="0" fillId="7" fontId="5" numFmtId="0" xfId="0" applyAlignment="1" applyFont="1">
      <alignment horizontal="center" readingOrder="0" vertical="bottom"/>
    </xf>
    <xf borderId="0" fillId="8" fontId="5" numFmtId="165" xfId="0" applyAlignment="1" applyFill="1" applyFont="1" applyNumberFormat="1">
      <alignment horizontal="center" vertical="bottom"/>
    </xf>
    <xf borderId="0" fillId="7" fontId="6" numFmtId="165" xfId="0" applyAlignment="1" applyFont="1" applyNumberFormat="1">
      <alignment horizontal="center" vertical="bottom"/>
    </xf>
    <xf borderId="0" fillId="9" fontId="7" numFmtId="0" xfId="0" applyAlignment="1" applyFill="1" applyFont="1">
      <alignment horizontal="center" vertical="bottom"/>
    </xf>
    <xf borderId="0" fillId="10" fontId="8" numFmtId="0" xfId="0" applyAlignment="1" applyFill="1" applyFont="1">
      <alignment horizontal="center" shrinkToFit="0" vertical="bottom" wrapText="1"/>
    </xf>
    <xf borderId="0" fillId="3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11" fontId="11" numFmtId="0" xfId="0" applyAlignment="1" applyFill="1" applyFont="1">
      <alignment horizontal="center" vertical="bottom"/>
    </xf>
    <xf borderId="0" fillId="12" fontId="12" numFmtId="0" xfId="0" applyAlignment="1" applyFill="1" applyFont="1">
      <alignment horizontal="center" vertical="bottom"/>
    </xf>
    <xf borderId="0" fillId="13" fontId="2" numFmtId="0" xfId="0" applyAlignment="1" applyFill="1" applyFont="1">
      <alignment vertical="bottom"/>
    </xf>
    <xf borderId="2" fillId="13" fontId="2" numFmtId="0" xfId="0" applyAlignment="1" applyBorder="1" applyFont="1">
      <alignment vertical="bottom"/>
    </xf>
    <xf borderId="3" fillId="13" fontId="13" numFmtId="4" xfId="0" applyAlignment="1" applyBorder="1" applyFont="1" applyNumberFormat="1">
      <alignment readingOrder="0" vertical="bottom"/>
    </xf>
    <xf borderId="4" fillId="13" fontId="2" numFmtId="0" xfId="0" applyAlignment="1" applyBorder="1" applyFont="1">
      <alignment vertical="bottom"/>
    </xf>
    <xf borderId="0" fillId="6" fontId="11" numFmtId="0" xfId="0" applyAlignment="1" applyFont="1">
      <alignment horizontal="center" vertical="bottom"/>
    </xf>
    <xf borderId="0" fillId="6" fontId="14" numFmtId="0" xfId="0" applyAlignment="1" applyFont="1">
      <alignment horizontal="center" vertical="bottom"/>
    </xf>
    <xf borderId="2" fillId="6" fontId="14" numFmtId="0" xfId="0" applyAlignment="1" applyBorder="1" applyFont="1">
      <alignment horizontal="center" readingOrder="0" vertical="bottom"/>
    </xf>
    <xf borderId="0" fillId="6" fontId="13" numFmtId="4" xfId="0" applyAlignment="1" applyFont="1" applyNumberFormat="1">
      <alignment horizontal="center" readingOrder="0" vertical="bottom"/>
    </xf>
    <xf borderId="5" fillId="5" fontId="15" numFmtId="4" xfId="0" applyAlignment="1" applyBorder="1" applyFont="1" applyNumberFormat="1">
      <alignment horizontal="center" readingOrder="0" vertical="bottom"/>
    </xf>
    <xf borderId="0" fillId="13" fontId="16" numFmtId="3" xfId="0" applyAlignment="1" applyFont="1" applyNumberFormat="1">
      <alignment horizontal="center" vertical="bottom"/>
    </xf>
    <xf borderId="0" fillId="14" fontId="15" numFmtId="4" xfId="0" applyAlignment="1" applyFill="1" applyFont="1" applyNumberFormat="1">
      <alignment horizontal="center" vertical="bottom"/>
    </xf>
    <xf borderId="2" fillId="14" fontId="15" numFmtId="4" xfId="0" applyAlignment="1" applyBorder="1" applyFont="1" applyNumberFormat="1">
      <alignment horizontal="center" vertical="bottom"/>
    </xf>
    <xf borderId="0" fillId="14" fontId="13" numFmtId="4" xfId="0" applyAlignment="1" applyFont="1" applyNumberFormat="1">
      <alignment vertical="bottom"/>
    </xf>
    <xf borderId="5" fillId="0" fontId="17" numFmtId="0" xfId="0" applyBorder="1" applyFont="1"/>
    <xf borderId="2" fillId="0" fontId="17" numFmtId="0" xfId="0" applyBorder="1" applyFont="1"/>
    <xf borderId="5" fillId="13" fontId="18" numFmtId="0" xfId="0" applyAlignment="1" applyBorder="1" applyFont="1">
      <alignment horizontal="center" vertical="bottom"/>
    </xf>
    <xf borderId="0" fillId="15" fontId="11" numFmtId="0" xfId="0" applyAlignment="1" applyFill="1" applyFont="1">
      <alignment vertical="bottom"/>
    </xf>
    <xf borderId="6" fillId="15" fontId="2" numFmtId="0" xfId="0" applyAlignment="1" applyBorder="1" applyFont="1">
      <alignment vertical="bottom"/>
    </xf>
    <xf borderId="7" fillId="0" fontId="17" numFmtId="0" xfId="0" applyBorder="1" applyFont="1"/>
    <xf borderId="8" fillId="0" fontId="17" numFmtId="0" xfId="0" applyBorder="1" applyFont="1"/>
    <xf borderId="0" fillId="13" fontId="2" numFmtId="0" xfId="0" applyAlignment="1" applyFont="1">
      <alignment horizontal="center" vertical="bottom"/>
    </xf>
    <xf borderId="0" fillId="16" fontId="19" numFmtId="166" xfId="0" applyAlignment="1" applyFill="1" applyFont="1" applyNumberFormat="1">
      <alignment horizontal="center" vertical="bottom"/>
    </xf>
    <xf borderId="0" fillId="0" fontId="20" numFmtId="167" xfId="0" applyAlignment="1" applyFont="1" applyNumberFormat="1">
      <alignment horizontal="center" vertical="bottom"/>
    </xf>
    <xf borderId="0" fillId="16" fontId="19" numFmtId="166" xfId="0" applyAlignment="1" applyFont="1" applyNumberFormat="1">
      <alignment horizontal="center" readingOrder="0" vertical="bottom"/>
    </xf>
    <xf borderId="0" fillId="0" fontId="21" numFmtId="165" xfId="0" applyAlignment="1" applyFont="1" applyNumberFormat="1">
      <alignment horizontal="center" readingOrder="0" vertical="bottom"/>
    </xf>
    <xf borderId="0" fillId="17" fontId="21" numFmtId="165" xfId="0" applyAlignment="1" applyFill="1" applyFont="1" applyNumberFormat="1">
      <alignment horizontal="center" readingOrder="0" vertical="bottom"/>
    </xf>
    <xf borderId="0" fillId="13" fontId="2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1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17" fontId="2" numFmtId="165" xfId="0" applyAlignment="1" applyFont="1" applyNumberFormat="1">
      <alignment horizontal="center" vertical="bottom"/>
    </xf>
    <xf borderId="0" fillId="13" fontId="11" numFmtId="165" xfId="0" applyAlignment="1" applyFont="1" applyNumberFormat="1">
      <alignment horizontal="center" vertical="bottom"/>
    </xf>
    <xf borderId="0" fillId="5" fontId="11" numFmtId="0" xfId="0" applyAlignment="1" applyFont="1">
      <alignment horizontal="center" vertical="bottom"/>
    </xf>
    <xf borderId="0" fillId="11" fontId="2" numFmtId="0" xfId="0" applyAlignment="1" applyFont="1">
      <alignment readingOrder="0" vertical="bottom"/>
    </xf>
    <xf borderId="0" fillId="11" fontId="2" numFmtId="0" xfId="0" applyAlignment="1" applyFont="1">
      <alignment vertical="bottom"/>
    </xf>
    <xf borderId="0" fillId="13" fontId="23" numFmtId="0" xfId="0" applyAlignment="1" applyFont="1">
      <alignment horizontal="center" vertical="bottom"/>
    </xf>
    <xf borderId="0" fillId="7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13" fontId="23" numFmtId="0" xfId="0" applyAlignment="1" applyFont="1">
      <alignment horizontal="center" readingOrder="0" vertical="bottom"/>
    </xf>
    <xf borderId="0" fillId="13" fontId="24" numFmtId="165" xfId="0" applyAlignment="1" applyFont="1" applyNumberFormat="1">
      <alignment horizontal="center" vertical="bottom"/>
    </xf>
    <xf borderId="9" fillId="5" fontId="25" numFmtId="0" xfId="0" applyAlignment="1" applyBorder="1" applyFont="1">
      <alignment horizontal="center" shrinkToFit="0" vertical="bottom" wrapText="1"/>
    </xf>
    <xf borderId="10" fillId="0" fontId="17" numFmtId="0" xfId="0" applyBorder="1" applyFont="1"/>
    <xf borderId="11" fillId="0" fontId="17" numFmtId="0" xfId="0" applyBorder="1" applyFont="1"/>
    <xf borderId="12" fillId="0" fontId="17" numFmtId="0" xfId="0" applyBorder="1" applyFont="1"/>
    <xf borderId="13" fillId="0" fontId="17" numFmtId="0" xfId="0" applyBorder="1" applyFont="1"/>
    <xf borderId="14" fillId="0" fontId="17" numFmtId="0" xfId="0" applyBorder="1" applyFont="1"/>
    <xf borderId="1" fillId="0" fontId="17" numFmtId="0" xfId="0" applyBorder="1" applyFont="1"/>
    <xf borderId="15" fillId="0" fontId="17" numFmtId="0" xfId="0" applyBorder="1" applyFont="1"/>
    <xf borderId="16" fillId="5" fontId="2" numFmtId="0" xfId="0" applyAlignment="1" applyBorder="1" applyFont="1">
      <alignment vertical="bottom"/>
    </xf>
    <xf borderId="9" fillId="0" fontId="26" numFmtId="0" xfId="0" applyAlignment="1" applyBorder="1" applyFont="1">
      <alignment horizontal="center" textRotation="45"/>
    </xf>
    <xf borderId="16" fillId="13" fontId="20" numFmtId="0" xfId="0" applyAlignment="1" applyBorder="1" applyFont="1">
      <alignment horizontal="center"/>
    </xf>
    <xf borderId="16" fillId="18" fontId="20" numFmtId="0" xfId="0" applyAlignment="1" applyBorder="1" applyFill="1" applyFont="1">
      <alignment horizontal="center"/>
    </xf>
    <xf borderId="16" fillId="18" fontId="20" numFmtId="3" xfId="0" applyAlignment="1" applyBorder="1" applyFont="1" applyNumberFormat="1">
      <alignment horizontal="center"/>
    </xf>
    <xf borderId="17" fillId="13" fontId="27" numFmtId="0" xfId="0" applyAlignment="1" applyBorder="1" applyFont="1">
      <alignment horizontal="center" vertical="bottom"/>
    </xf>
    <xf borderId="9" fillId="13" fontId="2" numFmtId="0" xfId="0" applyAlignment="1" applyBorder="1" applyFont="1">
      <alignment vertical="bottom"/>
    </xf>
    <xf borderId="18" fillId="0" fontId="17" numFmtId="0" xfId="0" applyBorder="1" applyFont="1"/>
    <xf borderId="17" fillId="15" fontId="28" numFmtId="0" xfId="0" applyAlignment="1" applyBorder="1" applyFont="1">
      <alignment horizontal="center"/>
    </xf>
    <xf borderId="9" fillId="15" fontId="28" numFmtId="0" xfId="0" applyAlignment="1" applyBorder="1" applyFont="1">
      <alignment horizontal="center"/>
    </xf>
    <xf borderId="19" fillId="0" fontId="17" numFmtId="0" xfId="0" applyBorder="1" applyFont="1"/>
    <xf borderId="16" fillId="0" fontId="2" numFmtId="0" xfId="0" applyAlignment="1" applyBorder="1" applyFont="1">
      <alignment vertical="bottom"/>
    </xf>
    <xf borderId="16" fillId="19" fontId="16" numFmtId="165" xfId="0" applyAlignment="1" applyBorder="1" applyFill="1" applyFont="1" applyNumberFormat="1">
      <alignment horizontal="center" shrinkToFit="0" wrapText="0"/>
    </xf>
    <xf borderId="20" fillId="20" fontId="16" numFmtId="165" xfId="0" applyAlignment="1" applyBorder="1" applyFill="1" applyFont="1" applyNumberFormat="1">
      <alignment horizontal="center" shrinkToFit="0" wrapText="0"/>
    </xf>
    <xf borderId="21" fillId="0" fontId="17" numFmtId="0" xfId="0" applyBorder="1" applyFont="1"/>
    <xf borderId="20" fillId="5" fontId="1" numFmtId="0" xfId="0" applyAlignment="1" applyBorder="1" applyFont="1">
      <alignment horizontal="center"/>
    </xf>
    <xf borderId="16" fillId="5" fontId="29" numFmtId="4" xfId="0" applyAlignment="1" applyBorder="1" applyFont="1" applyNumberFormat="1">
      <alignment horizontal="center" vertical="bottom"/>
    </xf>
    <xf borderId="20" fillId="5" fontId="29" numFmtId="0" xfId="0" applyAlignment="1" applyBorder="1" applyFont="1">
      <alignment horizontal="center" vertical="bottom"/>
    </xf>
    <xf borderId="20" fillId="13" fontId="30" numFmtId="0" xfId="0" applyAlignment="1" applyBorder="1" applyFont="1">
      <alignment horizontal="center"/>
    </xf>
    <xf borderId="16" fillId="13" fontId="31" numFmtId="0" xfId="0" applyAlignment="1" applyBorder="1" applyFont="1">
      <alignment horizontal="center"/>
    </xf>
    <xf borderId="20" fillId="13" fontId="31" numFmtId="0" xfId="0" applyAlignment="1" applyBorder="1" applyFont="1">
      <alignment horizontal="center"/>
    </xf>
    <xf borderId="16" fillId="2" fontId="1" numFmtId="0" xfId="0" applyAlignment="1" applyBorder="1" applyFont="1">
      <alignment horizontal="center" vertical="bottom"/>
    </xf>
    <xf borderId="16" fillId="21" fontId="32" numFmtId="165" xfId="0" applyAlignment="1" applyBorder="1" applyFill="1" applyFont="1" applyNumberFormat="1">
      <alignment horizontal="center" vertical="bottom"/>
    </xf>
    <xf borderId="16" fillId="21" fontId="32" numFmtId="0" xfId="0" applyAlignment="1" applyBorder="1" applyFont="1">
      <alignment horizontal="center" vertical="bottom"/>
    </xf>
    <xf borderId="16" fillId="22" fontId="2" numFmtId="0" xfId="0" applyAlignment="1" applyBorder="1" applyFill="1" applyFont="1">
      <alignment vertical="bottom"/>
    </xf>
    <xf borderId="16" fillId="10" fontId="33" numFmtId="0" xfId="0" applyAlignment="1" applyBorder="1" applyFont="1">
      <alignment horizontal="center" shrinkToFit="0" wrapText="1"/>
    </xf>
    <xf borderId="16" fillId="10" fontId="34" numFmtId="0" xfId="0" applyAlignment="1" applyBorder="1" applyFont="1">
      <alignment horizontal="center" shrinkToFit="0" wrapText="1"/>
    </xf>
    <xf borderId="16" fillId="11" fontId="11" numFmtId="0" xfId="0" applyAlignment="1" applyBorder="1" applyFont="1">
      <alignment horizontal="center" vertical="bottom"/>
    </xf>
    <xf borderId="16" fillId="12" fontId="1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0</xdr:rowOff>
    </xdr:from>
    <xdr:ext cx="1828800" cy="2733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18.5"/>
    <col customWidth="1" min="2" max="2" width="18.75"/>
    <col customWidth="1" min="3" max="3" width="15.88"/>
    <col customWidth="1" min="4" max="4" width="17.13"/>
    <col customWidth="1" min="5" max="5" width="14.75"/>
    <col customWidth="1" min="6" max="6" width="14.88"/>
    <col customWidth="1" min="7" max="7" width="16.75"/>
    <col customWidth="1" min="8" max="8" width="20.63"/>
    <col customWidth="1" min="9" max="9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2025.0</v>
      </c>
      <c r="D2" s="3" t="s">
        <v>10</v>
      </c>
      <c r="E2" s="3" t="s">
        <v>11</v>
      </c>
      <c r="F2" s="5" t="s">
        <v>12</v>
      </c>
      <c r="G2" s="6">
        <v>5800000.0</v>
      </c>
      <c r="H2" s="6">
        <v>800000.0</v>
      </c>
    </row>
    <row r="3">
      <c r="A3" s="7"/>
      <c r="B3" s="7"/>
      <c r="C3" s="7"/>
      <c r="D3" s="7"/>
      <c r="E3" s="7"/>
      <c r="F3" s="7"/>
      <c r="G3" s="7"/>
      <c r="H3" s="7"/>
    </row>
    <row r="4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>
      <c r="A5" s="10">
        <f>G2</f>
        <v>5800000</v>
      </c>
      <c r="B5" s="10">
        <f>A5*1.3</f>
        <v>7540000</v>
      </c>
      <c r="C5" s="10">
        <f>B5+A5</f>
        <v>13340000</v>
      </c>
      <c r="D5" s="11">
        <v>18.0</v>
      </c>
      <c r="E5" s="10">
        <f>C5/D5</f>
        <v>741111.1111</v>
      </c>
      <c r="F5" s="10">
        <f t="shared" ref="F5:G5" si="1">E5/2</f>
        <v>370555.5556</v>
      </c>
      <c r="G5" s="12">
        <f t="shared" si="1"/>
        <v>185277.7778</v>
      </c>
      <c r="H5" s="13">
        <f>G5/6</f>
        <v>30879.62963</v>
      </c>
    </row>
    <row r="6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  <c r="F6" s="15" t="s">
        <v>26</v>
      </c>
      <c r="G6" s="15" t="s">
        <v>27</v>
      </c>
      <c r="H6" s="15" t="s">
        <v>28</v>
      </c>
    </row>
    <row r="7">
      <c r="A7" s="16" t="s">
        <v>29</v>
      </c>
      <c r="B7" s="16" t="s">
        <v>30</v>
      </c>
      <c r="C7" s="16" t="s">
        <v>31</v>
      </c>
      <c r="D7" s="16" t="s">
        <v>32</v>
      </c>
      <c r="E7" s="17">
        <v>3.014696455E9</v>
      </c>
      <c r="F7" s="18" t="s">
        <v>33</v>
      </c>
      <c r="G7" s="18" t="s">
        <v>33</v>
      </c>
      <c r="H7" s="19">
        <v>0.0</v>
      </c>
    </row>
    <row r="8">
      <c r="A8" s="20"/>
      <c r="B8" s="20"/>
      <c r="C8" s="20"/>
      <c r="D8" s="20"/>
      <c r="E8" s="21"/>
      <c r="F8" s="22">
        <v>380000.0</v>
      </c>
      <c r="G8" s="22">
        <v>280000.0</v>
      </c>
      <c r="H8" s="23"/>
    </row>
    <row r="9">
      <c r="A9" s="24" t="s">
        <v>34</v>
      </c>
      <c r="C9" s="25" t="s">
        <v>35</v>
      </c>
      <c r="E9" s="26" t="s">
        <v>36</v>
      </c>
      <c r="G9" s="27" t="s">
        <v>37</v>
      </c>
      <c r="H9" s="28" t="s">
        <v>16</v>
      </c>
    </row>
    <row r="10">
      <c r="A10" s="29">
        <f>I15+I25+I35+I45+I55+I65+I75+I85</f>
        <v>4978225</v>
      </c>
      <c r="C10" s="30">
        <f>C5-A10</f>
        <v>8361775</v>
      </c>
      <c r="E10" s="31">
        <f>C10+G10</f>
        <v>8361775</v>
      </c>
      <c r="G10" s="32"/>
      <c r="H10" s="33"/>
    </row>
    <row r="11">
      <c r="E11" s="34"/>
      <c r="H11" s="35">
        <f>I22+I32+I42+I52+I62+I72+I82+I92</f>
        <v>7</v>
      </c>
    </row>
    <row r="12">
      <c r="A12" s="36" t="s">
        <v>38</v>
      </c>
      <c r="E12" s="37"/>
      <c r="F12" s="38"/>
      <c r="G12" s="38"/>
      <c r="H12" s="39"/>
    </row>
    <row r="13">
      <c r="A13" s="40"/>
      <c r="B13" s="40"/>
      <c r="C13" s="40"/>
      <c r="D13" s="40"/>
      <c r="E13" s="40"/>
      <c r="F13" s="40"/>
      <c r="G13" s="40"/>
      <c r="H13" s="40"/>
      <c r="I13" s="20"/>
    </row>
    <row r="14">
      <c r="A14" s="40" t="s">
        <v>39</v>
      </c>
      <c r="B14" s="40" t="s">
        <v>40</v>
      </c>
      <c r="C14" s="40" t="s">
        <v>39</v>
      </c>
      <c r="D14" s="40" t="s">
        <v>40</v>
      </c>
      <c r="E14" s="40" t="s">
        <v>39</v>
      </c>
      <c r="F14" s="40" t="s">
        <v>40</v>
      </c>
      <c r="G14" s="40" t="s">
        <v>39</v>
      </c>
      <c r="H14" s="40" t="s">
        <v>40</v>
      </c>
      <c r="I14" s="20"/>
    </row>
    <row r="15">
      <c r="A15" s="41">
        <v>45971.0</v>
      </c>
      <c r="B15" s="42">
        <v>154225.0</v>
      </c>
      <c r="C15" s="43">
        <v>45978.0</v>
      </c>
      <c r="D15" s="44">
        <v>185000.0</v>
      </c>
      <c r="E15" s="43">
        <v>45985.0</v>
      </c>
      <c r="F15" s="44">
        <v>185000.0</v>
      </c>
      <c r="G15" s="43">
        <v>45992.0</v>
      </c>
      <c r="H15" s="45">
        <v>110000.0</v>
      </c>
      <c r="I15" s="46">
        <f>B21+D21+F21+H21</f>
        <v>634225</v>
      </c>
    </row>
    <row r="16">
      <c r="A16" s="41">
        <v>45972.0</v>
      </c>
      <c r="B16" s="47"/>
      <c r="C16" s="43">
        <v>45979.0</v>
      </c>
      <c r="D16" s="48"/>
      <c r="E16" s="43">
        <v>45986.0</v>
      </c>
      <c r="F16" s="49"/>
      <c r="G16" s="43">
        <v>45993.0</v>
      </c>
      <c r="H16" s="50"/>
    </row>
    <row r="17">
      <c r="A17" s="41">
        <v>45973.0</v>
      </c>
      <c r="B17" s="47"/>
      <c r="C17" s="43">
        <v>45980.0</v>
      </c>
      <c r="D17" s="48"/>
      <c r="E17" s="43">
        <v>45987.0</v>
      </c>
      <c r="F17" s="49"/>
      <c r="G17" s="43">
        <v>45994.0</v>
      </c>
      <c r="H17" s="50"/>
    </row>
    <row r="18">
      <c r="A18" s="41">
        <v>45974.0</v>
      </c>
      <c r="B18" s="47"/>
      <c r="C18" s="43">
        <v>45981.0</v>
      </c>
      <c r="D18" s="48"/>
      <c r="E18" s="43">
        <v>45988.0</v>
      </c>
      <c r="F18" s="49"/>
      <c r="G18" s="43">
        <v>45995.0</v>
      </c>
      <c r="H18" s="50"/>
    </row>
    <row r="19">
      <c r="A19" s="41">
        <v>45975.0</v>
      </c>
      <c r="B19" s="47"/>
      <c r="C19" s="43">
        <v>45982.0</v>
      </c>
      <c r="D19" s="48"/>
      <c r="E19" s="43">
        <v>45989.0</v>
      </c>
      <c r="F19" s="49"/>
      <c r="G19" s="43">
        <v>45996.0</v>
      </c>
      <c r="H19" s="50"/>
    </row>
    <row r="20">
      <c r="A20" s="41">
        <v>45976.0</v>
      </c>
      <c r="B20" s="47"/>
      <c r="C20" s="43">
        <v>45983.0</v>
      </c>
      <c r="D20" s="48"/>
      <c r="E20" s="43">
        <v>45990.0</v>
      </c>
      <c r="F20" s="49"/>
      <c r="G20" s="43">
        <v>45997.0</v>
      </c>
      <c r="H20" s="50"/>
    </row>
    <row r="21">
      <c r="A21" s="20"/>
      <c r="B21" s="51">
        <f>SUM(B15:B20)</f>
        <v>154225</v>
      </c>
      <c r="C21" s="20"/>
      <c r="D21" s="51">
        <f>SUM(D15:D20)</f>
        <v>185000</v>
      </c>
      <c r="E21" s="20"/>
      <c r="F21" s="51">
        <f>SUM(F15:F20)</f>
        <v>185000</v>
      </c>
      <c r="G21" s="20"/>
      <c r="H21" s="51">
        <f>SUM(H15:H20)</f>
        <v>110000</v>
      </c>
      <c r="I21" s="52">
        <v>1.0</v>
      </c>
    </row>
    <row r="22">
      <c r="A22" s="40" t="s">
        <v>41</v>
      </c>
      <c r="B22" s="53" t="s">
        <v>42</v>
      </c>
      <c r="C22" s="40" t="s">
        <v>41</v>
      </c>
      <c r="D22" s="53" t="s">
        <v>43</v>
      </c>
      <c r="E22" s="40" t="s">
        <v>41</v>
      </c>
      <c r="F22" s="53" t="s">
        <v>44</v>
      </c>
      <c r="G22" s="40" t="s">
        <v>41</v>
      </c>
      <c r="H22" s="54"/>
      <c r="I22" s="55">
        <v>1.0</v>
      </c>
    </row>
    <row r="23">
      <c r="A23" s="56"/>
      <c r="B23" s="56"/>
      <c r="C23" s="56"/>
      <c r="D23" s="56"/>
      <c r="E23" s="56"/>
      <c r="F23" s="56"/>
      <c r="G23" s="56"/>
      <c r="H23" s="56"/>
      <c r="I23" s="56"/>
    </row>
    <row r="24">
      <c r="A24" s="40" t="s">
        <v>39</v>
      </c>
      <c r="B24" s="40" t="s">
        <v>40</v>
      </c>
      <c r="C24" s="40" t="s">
        <v>39</v>
      </c>
      <c r="D24" s="40" t="s">
        <v>40</v>
      </c>
      <c r="E24" s="40" t="s">
        <v>39</v>
      </c>
      <c r="F24" s="40" t="s">
        <v>40</v>
      </c>
      <c r="G24" s="40" t="s">
        <v>39</v>
      </c>
      <c r="H24" s="40" t="s">
        <v>40</v>
      </c>
      <c r="I24" s="20"/>
    </row>
    <row r="25">
      <c r="A25" s="43">
        <v>45999.0</v>
      </c>
      <c r="B25" s="44">
        <v>153000.0</v>
      </c>
      <c r="C25" s="43">
        <v>46006.0</v>
      </c>
      <c r="D25" s="44">
        <v>185000.0</v>
      </c>
      <c r="E25" s="43">
        <v>46013.0</v>
      </c>
      <c r="F25" s="44">
        <v>185000.0</v>
      </c>
      <c r="G25" s="43">
        <v>46020.0</v>
      </c>
      <c r="H25" s="44">
        <v>120000.0</v>
      </c>
      <c r="I25" s="46">
        <f>B31+D31+F31+H31</f>
        <v>675000</v>
      </c>
    </row>
    <row r="26">
      <c r="A26" s="43">
        <v>46000.0</v>
      </c>
      <c r="B26" s="44">
        <v>32000.0</v>
      </c>
      <c r="C26" s="43">
        <v>46007.0</v>
      </c>
      <c r="D26" s="49"/>
      <c r="E26" s="43">
        <v>46014.0</v>
      </c>
      <c r="F26" s="49"/>
      <c r="G26" s="43">
        <v>46021.0</v>
      </c>
      <c r="H26" s="57"/>
    </row>
    <row r="27">
      <c r="A27" s="43">
        <v>46001.0</v>
      </c>
      <c r="B27" s="57"/>
      <c r="C27" s="43">
        <v>46008.0</v>
      </c>
      <c r="D27" s="49"/>
      <c r="E27" s="43">
        <v>46015.0</v>
      </c>
      <c r="F27" s="49"/>
      <c r="G27" s="43">
        <v>46022.0</v>
      </c>
      <c r="H27" s="57"/>
    </row>
    <row r="28">
      <c r="A28" s="43">
        <v>46002.0</v>
      </c>
      <c r="B28" s="57"/>
      <c r="C28" s="43">
        <v>46009.0</v>
      </c>
      <c r="D28" s="49"/>
      <c r="E28" s="43">
        <v>46016.0</v>
      </c>
      <c r="F28" s="49"/>
      <c r="G28" s="43">
        <v>46023.0</v>
      </c>
      <c r="H28" s="57"/>
    </row>
    <row r="29">
      <c r="A29" s="43">
        <v>46003.0</v>
      </c>
      <c r="B29" s="57"/>
      <c r="C29" s="43">
        <v>46010.0</v>
      </c>
      <c r="D29" s="49"/>
      <c r="E29" s="43">
        <v>46017.0</v>
      </c>
      <c r="F29" s="49"/>
      <c r="G29" s="43">
        <v>46024.0</v>
      </c>
      <c r="H29" s="57"/>
    </row>
    <row r="30">
      <c r="A30" s="43">
        <v>46004.0</v>
      </c>
      <c r="B30" s="57"/>
      <c r="C30" s="43">
        <v>46011.0</v>
      </c>
      <c r="D30" s="49"/>
      <c r="E30" s="43">
        <v>46018.0</v>
      </c>
      <c r="F30" s="49"/>
      <c r="G30" s="43">
        <v>46025.0</v>
      </c>
      <c r="H30" s="57"/>
    </row>
    <row r="31">
      <c r="A31" s="20"/>
      <c r="B31" s="51">
        <f>SUM(B25:B30)</f>
        <v>185000</v>
      </c>
      <c r="C31" s="20"/>
      <c r="D31" s="51">
        <f>SUM(D25:D30)</f>
        <v>185000</v>
      </c>
      <c r="E31" s="20"/>
      <c r="F31" s="51">
        <f>SUM(F25:F30)</f>
        <v>185000</v>
      </c>
      <c r="G31" s="20"/>
      <c r="H31" s="51">
        <f>SUM(H25:H30)</f>
        <v>120000</v>
      </c>
      <c r="I31" s="52">
        <v>2.0</v>
      </c>
    </row>
    <row r="32">
      <c r="A32" s="40" t="s">
        <v>41</v>
      </c>
      <c r="B32" s="53">
        <v>35618.0</v>
      </c>
      <c r="C32" s="40" t="s">
        <v>41</v>
      </c>
      <c r="D32" s="53" t="s">
        <v>45</v>
      </c>
      <c r="E32" s="40" t="s">
        <v>41</v>
      </c>
      <c r="F32" s="53" t="s">
        <v>46</v>
      </c>
      <c r="G32" s="40" t="s">
        <v>41</v>
      </c>
      <c r="H32" s="53" t="s">
        <v>47</v>
      </c>
      <c r="I32" s="55">
        <v>1.0</v>
      </c>
    </row>
    <row r="33">
      <c r="A33" s="56"/>
      <c r="B33" s="56"/>
      <c r="C33" s="56"/>
      <c r="D33" s="56"/>
      <c r="E33" s="56"/>
      <c r="F33" s="56"/>
      <c r="G33" s="56"/>
      <c r="H33" s="56"/>
      <c r="I33" s="56"/>
    </row>
    <row r="34">
      <c r="A34" s="40" t="s">
        <v>39</v>
      </c>
      <c r="B34" s="40" t="s">
        <v>40</v>
      </c>
      <c r="C34" s="40" t="s">
        <v>39</v>
      </c>
      <c r="D34" s="40" t="s">
        <v>40</v>
      </c>
      <c r="E34" s="40" t="s">
        <v>39</v>
      </c>
      <c r="F34" s="40" t="s">
        <v>40</v>
      </c>
      <c r="G34" s="40" t="s">
        <v>39</v>
      </c>
      <c r="H34" s="40" t="s">
        <v>40</v>
      </c>
      <c r="I34" s="20"/>
    </row>
    <row r="35">
      <c r="A35" s="43">
        <v>46027.0</v>
      </c>
      <c r="B35" s="44">
        <v>170000.0</v>
      </c>
      <c r="C35" s="43">
        <v>46034.0</v>
      </c>
      <c r="D35" s="44">
        <v>185000.0</v>
      </c>
      <c r="E35" s="43">
        <v>46041.0</v>
      </c>
      <c r="F35" s="44">
        <v>185000.0</v>
      </c>
      <c r="G35" s="43">
        <v>46048.0</v>
      </c>
      <c r="H35" s="44">
        <v>185000.0</v>
      </c>
      <c r="I35" s="46">
        <f>B41+D41+F41+H41</f>
        <v>740000</v>
      </c>
    </row>
    <row r="36">
      <c r="A36" s="43">
        <v>46028.0</v>
      </c>
      <c r="B36" s="44">
        <v>15000.0</v>
      </c>
      <c r="C36" s="43">
        <v>46035.0</v>
      </c>
      <c r="D36" s="49"/>
      <c r="E36" s="43">
        <v>46042.0</v>
      </c>
      <c r="F36" s="49"/>
      <c r="G36" s="43">
        <v>46049.0</v>
      </c>
      <c r="H36" s="49"/>
    </row>
    <row r="37">
      <c r="A37" s="43">
        <v>46029.0</v>
      </c>
      <c r="B37" s="57"/>
      <c r="C37" s="43">
        <v>46036.0</v>
      </c>
      <c r="D37" s="49"/>
      <c r="E37" s="43">
        <v>46043.0</v>
      </c>
      <c r="F37" s="49"/>
      <c r="G37" s="43">
        <v>46050.0</v>
      </c>
      <c r="H37" s="49"/>
    </row>
    <row r="38">
      <c r="A38" s="43">
        <v>46030.0</v>
      </c>
      <c r="B38" s="57"/>
      <c r="C38" s="43">
        <v>46037.0</v>
      </c>
      <c r="D38" s="49"/>
      <c r="E38" s="43">
        <v>46044.0</v>
      </c>
      <c r="F38" s="49"/>
      <c r="G38" s="43">
        <v>46051.0</v>
      </c>
      <c r="H38" s="49"/>
    </row>
    <row r="39">
      <c r="A39" s="43">
        <v>46031.0</v>
      </c>
      <c r="B39" s="57"/>
      <c r="C39" s="43">
        <v>46038.0</v>
      </c>
      <c r="D39" s="49"/>
      <c r="E39" s="43">
        <v>46045.0</v>
      </c>
      <c r="F39" s="49"/>
      <c r="G39" s="43">
        <v>46052.0</v>
      </c>
      <c r="H39" s="49"/>
    </row>
    <row r="40">
      <c r="A40" s="43">
        <v>46032.0</v>
      </c>
      <c r="B40" s="57"/>
      <c r="C40" s="43">
        <v>46039.0</v>
      </c>
      <c r="D40" s="49"/>
      <c r="E40" s="43">
        <v>46046.0</v>
      </c>
      <c r="F40" s="49"/>
      <c r="G40" s="43">
        <v>46053.0</v>
      </c>
      <c r="H40" s="49"/>
    </row>
    <row r="41">
      <c r="A41" s="20"/>
      <c r="B41" s="51">
        <f>SUM(B35:B40)</f>
        <v>185000</v>
      </c>
      <c r="C41" s="20"/>
      <c r="D41" s="51">
        <f>SUM(D35:D40)</f>
        <v>185000</v>
      </c>
      <c r="E41" s="20"/>
      <c r="F41" s="51">
        <f>SUM(F35:F40)</f>
        <v>185000</v>
      </c>
      <c r="G41" s="20"/>
      <c r="H41" s="51">
        <f>SUM(H35:H40)</f>
        <v>185000</v>
      </c>
      <c r="I41" s="52">
        <v>3.0</v>
      </c>
    </row>
    <row r="42">
      <c r="A42" s="40" t="s">
        <v>41</v>
      </c>
      <c r="B42" s="53" t="s">
        <v>48</v>
      </c>
      <c r="C42" s="40" t="s">
        <v>41</v>
      </c>
      <c r="D42" s="53" t="s">
        <v>49</v>
      </c>
      <c r="E42" s="40" t="s">
        <v>41</v>
      </c>
      <c r="F42" s="54"/>
      <c r="G42" s="40" t="s">
        <v>41</v>
      </c>
      <c r="H42" s="54"/>
      <c r="I42" s="55">
        <v>1.0</v>
      </c>
    </row>
    <row r="43">
      <c r="A43" s="56"/>
      <c r="B43" s="56"/>
      <c r="C43" s="56"/>
      <c r="D43" s="56"/>
      <c r="E43" s="56"/>
      <c r="F43" s="56"/>
      <c r="G43" s="56"/>
      <c r="H43" s="56"/>
      <c r="I43" s="56"/>
    </row>
    <row r="44">
      <c r="A44" s="40" t="s">
        <v>39</v>
      </c>
      <c r="B44" s="40" t="s">
        <v>40</v>
      </c>
      <c r="C44" s="40" t="s">
        <v>39</v>
      </c>
      <c r="D44" s="40" t="s">
        <v>40</v>
      </c>
      <c r="E44" s="40" t="s">
        <v>39</v>
      </c>
      <c r="F44" s="40" t="s">
        <v>40</v>
      </c>
      <c r="G44" s="40" t="s">
        <v>39</v>
      </c>
      <c r="H44" s="40" t="s">
        <v>40</v>
      </c>
      <c r="I44" s="20"/>
    </row>
    <row r="45">
      <c r="A45" s="43">
        <v>46055.0</v>
      </c>
      <c r="B45" s="44">
        <v>185000.0</v>
      </c>
      <c r="C45" s="43">
        <v>46062.0</v>
      </c>
      <c r="D45" s="44">
        <v>185000.0</v>
      </c>
      <c r="E45" s="43">
        <v>46069.0</v>
      </c>
      <c r="F45" s="44">
        <v>185000.0</v>
      </c>
      <c r="G45" s="43">
        <v>46076.0</v>
      </c>
      <c r="H45" s="44">
        <v>185000.0</v>
      </c>
      <c r="I45" s="46">
        <f>B51+D51+F51+H51</f>
        <v>740000</v>
      </c>
    </row>
    <row r="46">
      <c r="A46" s="43">
        <v>46056.0</v>
      </c>
      <c r="B46" s="49"/>
      <c r="C46" s="43">
        <v>46063.0</v>
      </c>
      <c r="D46" s="49"/>
      <c r="E46" s="43">
        <v>46070.0</v>
      </c>
      <c r="F46" s="49"/>
      <c r="G46" s="43">
        <v>46077.0</v>
      </c>
      <c r="H46" s="49"/>
    </row>
    <row r="47">
      <c r="A47" s="43">
        <v>46057.0</v>
      </c>
      <c r="B47" s="49"/>
      <c r="C47" s="43">
        <v>46064.0</v>
      </c>
      <c r="D47" s="49"/>
      <c r="E47" s="43">
        <v>46071.0</v>
      </c>
      <c r="F47" s="49"/>
      <c r="G47" s="43">
        <v>46078.0</v>
      </c>
      <c r="H47" s="49"/>
    </row>
    <row r="48">
      <c r="A48" s="43">
        <v>46058.0</v>
      </c>
      <c r="B48" s="49"/>
      <c r="C48" s="43">
        <v>46065.0</v>
      </c>
      <c r="D48" s="49"/>
      <c r="E48" s="43">
        <v>46072.0</v>
      </c>
      <c r="F48" s="49"/>
      <c r="G48" s="43">
        <v>46079.0</v>
      </c>
      <c r="H48" s="49"/>
    </row>
    <row r="49">
      <c r="A49" s="43">
        <v>46059.0</v>
      </c>
      <c r="B49" s="49"/>
      <c r="C49" s="43">
        <v>46066.0</v>
      </c>
      <c r="D49" s="49"/>
      <c r="E49" s="43">
        <v>46073.0</v>
      </c>
      <c r="F49" s="49"/>
      <c r="G49" s="43">
        <v>46080.0</v>
      </c>
      <c r="H49" s="49"/>
    </row>
    <row r="50">
      <c r="A50" s="43">
        <v>46060.0</v>
      </c>
      <c r="B50" s="49"/>
      <c r="C50" s="43">
        <v>46067.0</v>
      </c>
      <c r="D50" s="49"/>
      <c r="E50" s="43">
        <v>46074.0</v>
      </c>
      <c r="F50" s="49"/>
      <c r="G50" s="43">
        <v>46081.0</v>
      </c>
      <c r="H50" s="49"/>
    </row>
    <row r="51">
      <c r="A51" s="20"/>
      <c r="B51" s="51">
        <f>SUM(B45:B50)</f>
        <v>185000</v>
      </c>
      <c r="C51" s="20"/>
      <c r="D51" s="51">
        <f>SUM(D45:D50)</f>
        <v>185000</v>
      </c>
      <c r="E51" s="20"/>
      <c r="F51" s="51">
        <f>SUM(F45:F50)</f>
        <v>185000</v>
      </c>
      <c r="G51" s="20"/>
      <c r="H51" s="51">
        <f>SUM(H45:H50)</f>
        <v>185000</v>
      </c>
      <c r="I51" s="52">
        <v>4.0</v>
      </c>
    </row>
    <row r="52">
      <c r="A52" s="40" t="s">
        <v>41</v>
      </c>
      <c r="B52" s="54"/>
      <c r="C52" s="40" t="s">
        <v>41</v>
      </c>
      <c r="D52" s="54"/>
      <c r="E52" s="40" t="s">
        <v>41</v>
      </c>
      <c r="F52" s="54"/>
      <c r="G52" s="40" t="s">
        <v>41</v>
      </c>
      <c r="H52" s="54"/>
      <c r="I52" s="58">
        <v>1.0</v>
      </c>
    </row>
    <row r="53">
      <c r="A53" s="56"/>
      <c r="B53" s="56"/>
      <c r="C53" s="56"/>
      <c r="D53" s="56"/>
      <c r="E53" s="56"/>
      <c r="F53" s="56"/>
      <c r="G53" s="56"/>
      <c r="H53" s="56"/>
      <c r="I53" s="56"/>
    </row>
    <row r="54">
      <c r="A54" s="40" t="s">
        <v>39</v>
      </c>
      <c r="B54" s="40" t="s">
        <v>40</v>
      </c>
      <c r="C54" s="40" t="s">
        <v>39</v>
      </c>
      <c r="D54" s="40" t="s">
        <v>40</v>
      </c>
      <c r="E54" s="40" t="s">
        <v>39</v>
      </c>
      <c r="F54" s="40" t="s">
        <v>40</v>
      </c>
      <c r="G54" s="40" t="s">
        <v>39</v>
      </c>
      <c r="H54" s="40" t="s">
        <v>40</v>
      </c>
      <c r="I54" s="56"/>
    </row>
    <row r="55">
      <c r="A55" s="43">
        <v>46083.0</v>
      </c>
      <c r="B55" s="44">
        <v>185000.0</v>
      </c>
      <c r="C55" s="43">
        <v>46090.0</v>
      </c>
      <c r="D55" s="44">
        <v>185000.0</v>
      </c>
      <c r="E55" s="43">
        <v>46097.0</v>
      </c>
      <c r="F55" s="44">
        <v>185000.0</v>
      </c>
      <c r="G55" s="43">
        <v>46104.0</v>
      </c>
      <c r="H55" s="44">
        <v>185000.0</v>
      </c>
      <c r="I55" s="46">
        <f>B61+D61+F61+H61</f>
        <v>740000</v>
      </c>
    </row>
    <row r="56">
      <c r="A56" s="43">
        <v>46084.0</v>
      </c>
      <c r="B56" s="49"/>
      <c r="C56" s="43">
        <v>46091.0</v>
      </c>
      <c r="D56" s="49"/>
      <c r="E56" s="43">
        <v>46098.0</v>
      </c>
      <c r="F56" s="49"/>
      <c r="G56" s="43">
        <v>46105.0</v>
      </c>
      <c r="H56" s="57"/>
    </row>
    <row r="57">
      <c r="A57" s="43">
        <v>46085.0</v>
      </c>
      <c r="B57" s="49"/>
      <c r="C57" s="43">
        <v>46092.0</v>
      </c>
      <c r="D57" s="49"/>
      <c r="E57" s="43">
        <v>46099.0</v>
      </c>
      <c r="F57" s="49"/>
      <c r="G57" s="43">
        <v>46106.0</v>
      </c>
      <c r="H57" s="57"/>
    </row>
    <row r="58">
      <c r="A58" s="43">
        <v>46086.0</v>
      </c>
      <c r="B58" s="49"/>
      <c r="C58" s="43">
        <v>46093.0</v>
      </c>
      <c r="D58" s="49"/>
      <c r="E58" s="43">
        <v>46100.0</v>
      </c>
      <c r="F58" s="49"/>
      <c r="G58" s="43">
        <v>46107.0</v>
      </c>
      <c r="H58" s="57"/>
    </row>
    <row r="59">
      <c r="A59" s="43">
        <v>46087.0</v>
      </c>
      <c r="B59" s="49"/>
      <c r="C59" s="43">
        <v>46094.0</v>
      </c>
      <c r="D59" s="49"/>
      <c r="E59" s="43">
        <v>46101.0</v>
      </c>
      <c r="F59" s="49"/>
      <c r="G59" s="43">
        <v>46108.0</v>
      </c>
      <c r="H59" s="57"/>
    </row>
    <row r="60">
      <c r="A60" s="43">
        <v>46088.0</v>
      </c>
      <c r="B60" s="49"/>
      <c r="C60" s="43">
        <v>46095.0</v>
      </c>
      <c r="D60" s="49"/>
      <c r="E60" s="43">
        <v>46102.0</v>
      </c>
      <c r="F60" s="49"/>
      <c r="G60" s="43">
        <v>46109.0</v>
      </c>
      <c r="H60" s="57"/>
    </row>
    <row r="61">
      <c r="A61" s="20"/>
      <c r="B61" s="51">
        <f>SUM(B55:B60)</f>
        <v>185000</v>
      </c>
      <c r="C61" s="20"/>
      <c r="D61" s="51">
        <f>SUM(D55:D60)</f>
        <v>185000</v>
      </c>
      <c r="E61" s="20"/>
      <c r="F61" s="51">
        <f>SUM(F55:F60)</f>
        <v>185000</v>
      </c>
      <c r="G61" s="20"/>
      <c r="H61" s="51">
        <f>SUM(H55:H60)</f>
        <v>185000</v>
      </c>
      <c r="I61" s="52">
        <v>5.0</v>
      </c>
    </row>
    <row r="62">
      <c r="A62" s="40" t="s">
        <v>41</v>
      </c>
      <c r="B62" s="54"/>
      <c r="C62" s="40" t="s">
        <v>41</v>
      </c>
      <c r="D62" s="54"/>
      <c r="E62" s="40" t="s">
        <v>41</v>
      </c>
      <c r="F62" s="54"/>
      <c r="G62" s="40" t="s">
        <v>41</v>
      </c>
      <c r="H62" s="54"/>
      <c r="I62" s="58">
        <v>1.0</v>
      </c>
    </row>
    <row r="63">
      <c r="A63" s="56"/>
      <c r="B63" s="56"/>
      <c r="C63" s="56"/>
      <c r="D63" s="56"/>
      <c r="E63" s="56"/>
      <c r="F63" s="56"/>
      <c r="G63" s="56"/>
      <c r="H63" s="56"/>
      <c r="I63" s="56"/>
    </row>
    <row r="64">
      <c r="A64" s="40" t="s">
        <v>39</v>
      </c>
      <c r="B64" s="40" t="s">
        <v>40</v>
      </c>
      <c r="C64" s="40" t="s">
        <v>39</v>
      </c>
      <c r="D64" s="40" t="s">
        <v>40</v>
      </c>
      <c r="E64" s="40" t="s">
        <v>39</v>
      </c>
      <c r="F64" s="40" t="s">
        <v>40</v>
      </c>
      <c r="G64" s="40" t="s">
        <v>39</v>
      </c>
      <c r="H64" s="40" t="s">
        <v>40</v>
      </c>
      <c r="I64" s="56"/>
    </row>
    <row r="65">
      <c r="A65" s="43">
        <v>46111.0</v>
      </c>
      <c r="B65" s="44">
        <v>154000.0</v>
      </c>
      <c r="C65" s="43">
        <v>46118.0</v>
      </c>
      <c r="D65" s="44">
        <v>185000.0</v>
      </c>
      <c r="E65" s="43">
        <v>46125.0</v>
      </c>
      <c r="F65" s="44">
        <v>185000.0</v>
      </c>
      <c r="G65" s="43">
        <v>46132.0</v>
      </c>
      <c r="H65" s="44">
        <v>185000.0</v>
      </c>
      <c r="I65" s="46">
        <f>B71+D71+F71+H71</f>
        <v>709000</v>
      </c>
    </row>
    <row r="66">
      <c r="A66" s="43">
        <v>46112.0</v>
      </c>
      <c r="B66" s="57"/>
      <c r="C66" s="43">
        <v>46119.0</v>
      </c>
      <c r="D66" s="57"/>
      <c r="E66" s="43">
        <v>46126.0</v>
      </c>
      <c r="F66" s="57"/>
      <c r="G66" s="43">
        <v>46133.0</v>
      </c>
      <c r="H66" s="57"/>
    </row>
    <row r="67">
      <c r="A67" s="43">
        <v>46113.0</v>
      </c>
      <c r="B67" s="57"/>
      <c r="C67" s="43">
        <v>46120.0</v>
      </c>
      <c r="D67" s="57"/>
      <c r="E67" s="43">
        <v>46127.0</v>
      </c>
      <c r="F67" s="57"/>
      <c r="G67" s="43">
        <v>46134.0</v>
      </c>
      <c r="H67" s="57"/>
    </row>
    <row r="68">
      <c r="A68" s="43">
        <v>46114.0</v>
      </c>
      <c r="B68" s="57"/>
      <c r="C68" s="43">
        <v>46121.0</v>
      </c>
      <c r="D68" s="57"/>
      <c r="E68" s="43">
        <v>46128.0</v>
      </c>
      <c r="F68" s="57"/>
      <c r="G68" s="43">
        <v>46135.0</v>
      </c>
      <c r="H68" s="57"/>
    </row>
    <row r="69">
      <c r="A69" s="43">
        <v>46115.0</v>
      </c>
      <c r="B69" s="57"/>
      <c r="C69" s="43">
        <v>46122.0</v>
      </c>
      <c r="D69" s="57"/>
      <c r="E69" s="43">
        <v>46129.0</v>
      </c>
      <c r="F69" s="57"/>
      <c r="G69" s="43">
        <v>46136.0</v>
      </c>
      <c r="H69" s="57"/>
    </row>
    <row r="70">
      <c r="A70" s="43">
        <v>46116.0</v>
      </c>
      <c r="B70" s="57"/>
      <c r="C70" s="43">
        <v>46123.0</v>
      </c>
      <c r="D70" s="57"/>
      <c r="E70" s="43">
        <v>46130.0</v>
      </c>
      <c r="F70" s="57"/>
      <c r="G70" s="43">
        <v>46137.0</v>
      </c>
      <c r="H70" s="57"/>
    </row>
    <row r="71">
      <c r="A71" s="20"/>
      <c r="B71" s="51">
        <f>SUM(B65:B70)</f>
        <v>154000</v>
      </c>
      <c r="C71" s="20"/>
      <c r="D71" s="51">
        <f>SUM(D65:D70)</f>
        <v>185000</v>
      </c>
      <c r="E71" s="20"/>
      <c r="F71" s="51">
        <f>SUM(F65:F70)</f>
        <v>185000</v>
      </c>
      <c r="G71" s="20"/>
      <c r="H71" s="51">
        <f>SUM(H65:H70)</f>
        <v>185000</v>
      </c>
      <c r="I71" s="52">
        <v>6.0</v>
      </c>
    </row>
    <row r="72">
      <c r="A72" s="40" t="s">
        <v>41</v>
      </c>
      <c r="B72" s="54"/>
      <c r="C72" s="40" t="s">
        <v>41</v>
      </c>
      <c r="D72" s="54"/>
      <c r="E72" s="40" t="s">
        <v>41</v>
      </c>
      <c r="F72" s="54"/>
      <c r="G72" s="40" t="s">
        <v>41</v>
      </c>
      <c r="H72" s="54"/>
      <c r="I72" s="58">
        <v>1.0</v>
      </c>
    </row>
    <row r="73">
      <c r="A73" s="56"/>
      <c r="B73" s="56"/>
      <c r="C73" s="56"/>
      <c r="D73" s="56"/>
      <c r="E73" s="56"/>
      <c r="F73" s="56"/>
      <c r="G73" s="56"/>
      <c r="H73" s="56"/>
      <c r="I73" s="56"/>
    </row>
    <row r="74">
      <c r="A74" s="40" t="s">
        <v>39</v>
      </c>
      <c r="B74" s="40" t="s">
        <v>40</v>
      </c>
      <c r="C74" s="40" t="s">
        <v>39</v>
      </c>
      <c r="D74" s="40" t="s">
        <v>40</v>
      </c>
      <c r="E74" s="40" t="s">
        <v>39</v>
      </c>
      <c r="F74" s="40" t="s">
        <v>40</v>
      </c>
      <c r="G74" s="40" t="s">
        <v>39</v>
      </c>
      <c r="H74" s="40" t="s">
        <v>40</v>
      </c>
      <c r="I74" s="56"/>
    </row>
    <row r="75">
      <c r="A75" s="43">
        <v>46139.0</v>
      </c>
      <c r="B75" s="44">
        <v>185000.0</v>
      </c>
      <c r="C75" s="43">
        <v>46146.0</v>
      </c>
      <c r="D75" s="44">
        <v>185000.0</v>
      </c>
      <c r="E75" s="43">
        <v>46153.0</v>
      </c>
      <c r="F75" s="44">
        <v>185000.0</v>
      </c>
      <c r="G75" s="43">
        <v>46160.0</v>
      </c>
      <c r="H75" s="44">
        <v>185000.0</v>
      </c>
      <c r="I75" s="46">
        <f>B81+D81+F81+H81</f>
        <v>740000</v>
      </c>
    </row>
    <row r="76">
      <c r="A76" s="43">
        <v>46140.0</v>
      </c>
      <c r="B76" s="57"/>
      <c r="C76" s="43">
        <v>46147.0</v>
      </c>
      <c r="D76" s="57"/>
      <c r="E76" s="43">
        <v>46154.0</v>
      </c>
      <c r="F76" s="57"/>
      <c r="G76" s="43">
        <v>46161.0</v>
      </c>
      <c r="H76" s="57"/>
    </row>
    <row r="77">
      <c r="A77" s="43">
        <v>46141.0</v>
      </c>
      <c r="B77" s="57"/>
      <c r="C77" s="43">
        <v>46148.0</v>
      </c>
      <c r="D77" s="57"/>
      <c r="E77" s="43">
        <v>46155.0</v>
      </c>
      <c r="F77" s="57"/>
      <c r="G77" s="43">
        <v>46162.0</v>
      </c>
      <c r="H77" s="57"/>
    </row>
    <row r="78">
      <c r="A78" s="43">
        <v>46142.0</v>
      </c>
      <c r="B78" s="57"/>
      <c r="C78" s="43">
        <v>46149.0</v>
      </c>
      <c r="D78" s="57"/>
      <c r="E78" s="43">
        <v>46156.0</v>
      </c>
      <c r="F78" s="57"/>
      <c r="G78" s="43">
        <v>46163.0</v>
      </c>
      <c r="H78" s="57"/>
    </row>
    <row r="79">
      <c r="A79" s="43">
        <v>46143.0</v>
      </c>
      <c r="B79" s="57"/>
      <c r="C79" s="43">
        <v>46150.0</v>
      </c>
      <c r="D79" s="57"/>
      <c r="E79" s="43">
        <v>46157.0</v>
      </c>
      <c r="F79" s="57"/>
      <c r="G79" s="43">
        <v>46164.0</v>
      </c>
      <c r="H79" s="57"/>
    </row>
    <row r="80">
      <c r="A80" s="43">
        <v>46144.0</v>
      </c>
      <c r="B80" s="57"/>
      <c r="C80" s="43">
        <v>46151.0</v>
      </c>
      <c r="D80" s="57"/>
      <c r="E80" s="43">
        <v>46158.0</v>
      </c>
      <c r="F80" s="57"/>
      <c r="G80" s="43">
        <v>46165.0</v>
      </c>
      <c r="H80" s="57"/>
    </row>
    <row r="81">
      <c r="A81" s="20"/>
      <c r="B81" s="51">
        <f>SUM(B75:B80)</f>
        <v>185000</v>
      </c>
      <c r="C81" s="20"/>
      <c r="D81" s="51">
        <f>SUM(D75:D80)</f>
        <v>185000</v>
      </c>
      <c r="E81" s="20"/>
      <c r="F81" s="51">
        <f>SUM(F75:F80)</f>
        <v>185000</v>
      </c>
      <c r="G81" s="20"/>
      <c r="H81" s="51">
        <f>SUM(H75:H80)</f>
        <v>185000</v>
      </c>
      <c r="I81" s="52">
        <v>7.0</v>
      </c>
    </row>
    <row r="82">
      <c r="A82" s="40" t="s">
        <v>41</v>
      </c>
      <c r="B82" s="54"/>
      <c r="C82" s="40" t="s">
        <v>41</v>
      </c>
      <c r="D82" s="54"/>
      <c r="E82" s="40" t="s">
        <v>41</v>
      </c>
      <c r="F82" s="54"/>
      <c r="G82" s="40" t="s">
        <v>41</v>
      </c>
      <c r="H82" s="54"/>
      <c r="I82" s="58">
        <v>1.0</v>
      </c>
    </row>
    <row r="83">
      <c r="A83" s="56"/>
      <c r="B83" s="56"/>
      <c r="C83" s="56"/>
      <c r="D83" s="56"/>
      <c r="E83" s="56"/>
      <c r="F83" s="56"/>
      <c r="G83" s="56"/>
      <c r="H83" s="56"/>
      <c r="I83" s="56"/>
    </row>
    <row r="84">
      <c r="A84" s="40" t="s">
        <v>39</v>
      </c>
      <c r="B84" s="40" t="s">
        <v>40</v>
      </c>
      <c r="C84" s="40" t="s">
        <v>39</v>
      </c>
      <c r="D84" s="40" t="s">
        <v>40</v>
      </c>
      <c r="E84" s="40" t="s">
        <v>39</v>
      </c>
      <c r="F84" s="40" t="s">
        <v>40</v>
      </c>
      <c r="G84" s="40" t="s">
        <v>39</v>
      </c>
      <c r="H84" s="40" t="s">
        <v>40</v>
      </c>
      <c r="I84" s="56"/>
    </row>
    <row r="85">
      <c r="A85" s="43">
        <v>46167.0</v>
      </c>
      <c r="B85" s="57"/>
      <c r="C85" s="43">
        <v>46174.0</v>
      </c>
      <c r="D85" s="57"/>
      <c r="E85" s="43">
        <v>46181.0</v>
      </c>
      <c r="F85" s="57"/>
      <c r="G85" s="43">
        <v>46188.0</v>
      </c>
      <c r="H85" s="57"/>
      <c r="I85" s="59">
        <f>B91+D91+F91+H91</f>
        <v>0</v>
      </c>
    </row>
    <row r="86">
      <c r="A86" s="43">
        <v>46168.0</v>
      </c>
      <c r="B86" s="57"/>
      <c r="C86" s="43">
        <v>46175.0</v>
      </c>
      <c r="D86" s="57"/>
      <c r="E86" s="43">
        <v>46182.0</v>
      </c>
      <c r="F86" s="57"/>
      <c r="G86" s="43">
        <v>46189.0</v>
      </c>
      <c r="H86" s="57"/>
    </row>
    <row r="87">
      <c r="A87" s="43">
        <v>46169.0</v>
      </c>
      <c r="B87" s="57"/>
      <c r="C87" s="43">
        <v>46176.0</v>
      </c>
      <c r="D87" s="57"/>
      <c r="E87" s="43">
        <v>46183.0</v>
      </c>
      <c r="F87" s="57"/>
      <c r="G87" s="43">
        <v>46190.0</v>
      </c>
      <c r="H87" s="57"/>
    </row>
    <row r="88">
      <c r="A88" s="43">
        <v>46170.0</v>
      </c>
      <c r="B88" s="57"/>
      <c r="C88" s="43">
        <v>46177.0</v>
      </c>
      <c r="D88" s="57"/>
      <c r="E88" s="43">
        <v>46184.0</v>
      </c>
      <c r="F88" s="57"/>
      <c r="G88" s="43">
        <v>46191.0</v>
      </c>
      <c r="H88" s="57"/>
    </row>
    <row r="89">
      <c r="A89" s="43">
        <v>46171.0</v>
      </c>
      <c r="B89" s="57"/>
      <c r="C89" s="43">
        <v>46178.0</v>
      </c>
      <c r="D89" s="57"/>
      <c r="E89" s="43">
        <v>46185.0</v>
      </c>
      <c r="F89" s="57"/>
      <c r="G89" s="43">
        <v>46192.0</v>
      </c>
      <c r="H89" s="57"/>
    </row>
    <row r="90">
      <c r="A90" s="43">
        <v>46172.0</v>
      </c>
      <c r="B90" s="57"/>
      <c r="C90" s="43">
        <v>46179.0</v>
      </c>
      <c r="D90" s="57"/>
      <c r="E90" s="43">
        <v>46186.0</v>
      </c>
      <c r="F90" s="57"/>
      <c r="G90" s="43">
        <v>46193.0</v>
      </c>
      <c r="H90" s="57"/>
    </row>
    <row r="91">
      <c r="A91" s="20"/>
      <c r="B91" s="51">
        <f>B85+B86+B87+B88+B89+B90</f>
        <v>0</v>
      </c>
      <c r="C91" s="20"/>
      <c r="D91" s="51">
        <f>D85+D86+D87+D88+D89+D90</f>
        <v>0</v>
      </c>
      <c r="E91" s="20"/>
      <c r="F91" s="51">
        <f>F85+F86+F87+F88+F89+F90</f>
        <v>0</v>
      </c>
      <c r="G91" s="20"/>
      <c r="H91" s="51">
        <f>H85+H86+H87+H88+H89+H90</f>
        <v>0</v>
      </c>
      <c r="I91" s="52">
        <v>8.0</v>
      </c>
    </row>
    <row r="92">
      <c r="A92" s="20"/>
      <c r="B92" s="54"/>
      <c r="C92" s="20"/>
      <c r="D92" s="54"/>
      <c r="E92" s="20"/>
      <c r="F92" s="54"/>
      <c r="G92" s="20"/>
      <c r="H92" s="54"/>
      <c r="I92" s="58"/>
    </row>
    <row r="93">
      <c r="A93" s="56"/>
      <c r="B93" s="56"/>
      <c r="C93" s="56"/>
      <c r="D93" s="56"/>
      <c r="E93" s="56"/>
      <c r="F93" s="56"/>
      <c r="G93" s="56"/>
      <c r="H93" s="56"/>
      <c r="I93" s="56"/>
    </row>
    <row r="94">
      <c r="A94" s="47"/>
      <c r="B94" s="47"/>
      <c r="C94" s="47"/>
      <c r="D94" s="47"/>
      <c r="E94" s="47"/>
      <c r="F94" s="47"/>
      <c r="G94" s="47"/>
      <c r="H94" s="47"/>
      <c r="I94" s="47"/>
    </row>
    <row r="95">
      <c r="A95" s="47"/>
      <c r="B95" s="47"/>
      <c r="C95" s="47"/>
      <c r="D95" s="47"/>
      <c r="E95" s="47"/>
      <c r="F95" s="47"/>
      <c r="G95" s="47"/>
      <c r="H95" s="47"/>
      <c r="I95" s="47"/>
    </row>
    <row r="96">
      <c r="A96" s="47"/>
      <c r="B96" s="47"/>
      <c r="C96" s="47"/>
      <c r="D96" s="47"/>
      <c r="E96" s="47"/>
      <c r="F96" s="47"/>
      <c r="G96" s="47"/>
      <c r="H96" s="47"/>
      <c r="I96" s="47"/>
    </row>
    <row r="97">
      <c r="A97" s="47"/>
      <c r="B97" s="47"/>
      <c r="C97" s="47"/>
      <c r="D97" s="47"/>
      <c r="E97" s="47"/>
      <c r="F97" s="47"/>
      <c r="G97" s="47"/>
      <c r="H97" s="47"/>
      <c r="I97" s="47"/>
    </row>
    <row r="98">
      <c r="A98" s="47"/>
      <c r="B98" s="47"/>
      <c r="C98" s="47"/>
      <c r="D98" s="47"/>
      <c r="E98" s="47"/>
      <c r="F98" s="47"/>
      <c r="G98" s="47"/>
      <c r="H98" s="47"/>
      <c r="I98" s="47"/>
    </row>
    <row r="99">
      <c r="A99" s="47"/>
      <c r="B99" s="47"/>
      <c r="C99" s="47"/>
      <c r="D99" s="47"/>
      <c r="E99" s="47"/>
      <c r="F99" s="47"/>
      <c r="G99" s="47"/>
      <c r="H99" s="47"/>
      <c r="I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</row>
    <row r="1004">
      <c r="A1004" s="47"/>
      <c r="B1004" s="47"/>
      <c r="C1004" s="47"/>
      <c r="D1004" s="47"/>
      <c r="E1004" s="47"/>
      <c r="F1004" s="47"/>
      <c r="G1004" s="47"/>
      <c r="H1004" s="47"/>
      <c r="I1004" s="47"/>
    </row>
    <row r="1005">
      <c r="A1005" s="47"/>
      <c r="B1005" s="47"/>
      <c r="C1005" s="47"/>
      <c r="D1005" s="47"/>
      <c r="E1005" s="47"/>
      <c r="F1005" s="47"/>
      <c r="G1005" s="47"/>
      <c r="H1005" s="47"/>
      <c r="I1005" s="47"/>
    </row>
  </sheetData>
  <mergeCells count="20">
    <mergeCell ref="C10:D11"/>
    <mergeCell ref="A12:D12"/>
    <mergeCell ref="I1:I12"/>
    <mergeCell ref="A9:B9"/>
    <mergeCell ref="C9:D9"/>
    <mergeCell ref="E9:F9"/>
    <mergeCell ref="H9:H10"/>
    <mergeCell ref="A10:B11"/>
    <mergeCell ref="H11:H12"/>
    <mergeCell ref="E12:G12"/>
    <mergeCell ref="I65:I70"/>
    <mergeCell ref="I75:I80"/>
    <mergeCell ref="I85:I90"/>
    <mergeCell ref="E10:F11"/>
    <mergeCell ref="G10:G11"/>
    <mergeCell ref="I15:I20"/>
    <mergeCell ref="I25:I30"/>
    <mergeCell ref="I35:I40"/>
    <mergeCell ref="I45:I50"/>
    <mergeCell ref="I55:I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50</v>
      </c>
      <c r="B1" s="61"/>
      <c r="C1" s="61"/>
      <c r="D1" s="61"/>
      <c r="E1" s="62"/>
    </row>
    <row r="2">
      <c r="A2" s="63"/>
      <c r="E2" s="64"/>
    </row>
    <row r="3">
      <c r="A3" s="65"/>
      <c r="B3" s="66"/>
      <c r="C3" s="66"/>
      <c r="D3" s="66"/>
      <c r="E3" s="67"/>
    </row>
    <row r="4">
      <c r="A4" s="68"/>
      <c r="B4" s="68"/>
      <c r="C4" s="68"/>
      <c r="D4" s="68"/>
      <c r="E4" s="68"/>
    </row>
    <row r="5">
      <c r="A5" s="69" t="s">
        <v>51</v>
      </c>
      <c r="B5" s="62"/>
      <c r="C5" s="70" t="str">
        <f t="shared" ref="C5:E5" si="1">DATA!B4</f>
        <v>#REF!</v>
      </c>
      <c r="D5" s="70" t="str">
        <f t="shared" si="1"/>
        <v>#REF!</v>
      </c>
      <c r="E5" s="70" t="str">
        <f t="shared" si="1"/>
        <v>#REF!</v>
      </c>
    </row>
    <row r="6">
      <c r="A6" s="63"/>
      <c r="B6" s="64"/>
      <c r="C6" s="71" t="str">
        <f t="shared" ref="C6:E6" si="2">DATA!B5</f>
        <v>#REF!</v>
      </c>
      <c r="D6" s="72" t="str">
        <f t="shared" si="2"/>
        <v>#REF!</v>
      </c>
      <c r="E6" s="71" t="str">
        <f t="shared" si="2"/>
        <v>#REF!</v>
      </c>
    </row>
    <row r="7">
      <c r="A7" s="63"/>
      <c r="B7" s="64"/>
      <c r="C7" s="73" t="str">
        <f>DATA!A5</f>
        <v>#REF!</v>
      </c>
      <c r="D7" s="74"/>
      <c r="E7" s="62"/>
    </row>
    <row r="8">
      <c r="A8" s="63"/>
      <c r="B8" s="64"/>
      <c r="C8" s="75"/>
      <c r="D8" s="65"/>
      <c r="E8" s="67"/>
    </row>
    <row r="9">
      <c r="A9" s="63"/>
      <c r="B9" s="64"/>
      <c r="C9" s="76" t="str">
        <f>PAGOS!A9</f>
        <v>#REF!</v>
      </c>
      <c r="D9" s="77" t="str">
        <f>PAGOS!C9</f>
        <v>#REF!</v>
      </c>
      <c r="E9" s="62"/>
    </row>
    <row r="10">
      <c r="A10" s="63"/>
      <c r="B10" s="64"/>
      <c r="C10" s="78"/>
      <c r="D10" s="63"/>
      <c r="E10" s="64"/>
    </row>
    <row r="11">
      <c r="A11" s="65"/>
      <c r="B11" s="67"/>
      <c r="C11" s="75"/>
      <c r="D11" s="65"/>
      <c r="E11" s="67"/>
    </row>
    <row r="12">
      <c r="A12" s="79"/>
      <c r="B12" s="79"/>
      <c r="C12" s="80" t="str">
        <f>PAGOS!A10</f>
        <v>#REF!</v>
      </c>
      <c r="D12" s="81" t="str">
        <f>PAGOS!C10</f>
        <v>#REF!</v>
      </c>
      <c r="E12" s="82"/>
    </row>
    <row r="13">
      <c r="A13" s="83" t="s">
        <v>52</v>
      </c>
      <c r="B13" s="82"/>
      <c r="C13" s="84" t="str">
        <f>PAGOS!H9</f>
        <v>#REF!</v>
      </c>
      <c r="D13" s="85" t="s">
        <v>53</v>
      </c>
      <c r="E13" s="82"/>
    </row>
    <row r="14">
      <c r="A14" s="86" t="str">
        <f>PAGOS!D5</f>
        <v>#REF!</v>
      </c>
      <c r="B14" s="82"/>
      <c r="C14" s="87" t="str">
        <f>PAGOS!H11</f>
        <v>#REF!</v>
      </c>
      <c r="D14" s="88" t="str">
        <f>PAGOS!D5-PAGOS!H11</f>
        <v>#REF!</v>
      </c>
      <c r="E14" s="82"/>
    </row>
    <row r="15">
      <c r="A15" s="89" t="s">
        <v>0</v>
      </c>
      <c r="B15" s="89" t="s">
        <v>1</v>
      </c>
      <c r="C15" s="89" t="s">
        <v>2</v>
      </c>
      <c r="D15" s="89" t="s">
        <v>3</v>
      </c>
      <c r="E15" s="89" t="s">
        <v>4</v>
      </c>
    </row>
    <row r="16">
      <c r="A16" s="90" t="s">
        <v>54</v>
      </c>
      <c r="B16" s="90" t="s">
        <v>55</v>
      </c>
      <c r="C16" s="91">
        <v>2026.0</v>
      </c>
      <c r="D16" s="90" t="s">
        <v>56</v>
      </c>
      <c r="E16" s="90" t="s">
        <v>57</v>
      </c>
    </row>
    <row r="17">
      <c r="A17" s="92"/>
      <c r="B17" s="92"/>
      <c r="C17" s="93" t="s">
        <v>26</v>
      </c>
      <c r="D17" s="94" t="s">
        <v>27</v>
      </c>
      <c r="E17" s="94" t="s">
        <v>28</v>
      </c>
    </row>
    <row r="18">
      <c r="A18" s="92"/>
      <c r="B18" s="92"/>
      <c r="C18" s="95" t="s">
        <v>33</v>
      </c>
      <c r="D18" s="95" t="s">
        <v>33</v>
      </c>
      <c r="E18" s="96">
        <v>0.0</v>
      </c>
    </row>
  </sheetData>
  <mergeCells count="11">
    <mergeCell ref="D12:E12"/>
    <mergeCell ref="D13:E13"/>
    <mergeCell ref="A14:B14"/>
    <mergeCell ref="D14:E14"/>
    <mergeCell ref="A1:E3"/>
    <mergeCell ref="A5:B11"/>
    <mergeCell ref="C7:C8"/>
    <mergeCell ref="D7:E8"/>
    <mergeCell ref="C9:C11"/>
    <mergeCell ref="D9:E11"/>
    <mergeCell ref="A13:B13"/>
  </mergeCells>
  <drawing r:id="rId1"/>
</worksheet>
</file>