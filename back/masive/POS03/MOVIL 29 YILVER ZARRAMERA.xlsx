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<sst xmlns="http://schemas.openxmlformats.org/spreadsheetml/2006/main" count="49" uniqueCount="41">
  <si>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</si>
  <si>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</si>
  <si>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</si>
  <si>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</si>
  <si>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</si>
  <si>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</si>
  <si>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</si>
  <si>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</si>
  <si>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</si>
  <si>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SBR</t>
  </si>
  <si>
    <t xml:space="preserve">BERA</t>
  </si>
  <si>
    <t xml:space="preserve">NDE68H</t>
  </si>
  <si>
    <t xml:space="preserve">29</t>
  </si>
  <si>
    <t xml:space="preserve">COSTO -INICIAL</t>
  </si>
  <si>
    <t xml:space="preserve">INTERES</t>
  </si>
  <si>
    <t xml:space="preserve">COSTO NETO</t>
  </si>
  <si>
    <t xml:space="preserve">MESES</t>
  </si>
  <si>
    <t xml:space="preserve">quincenla</t>
  </si>
  <si>
    <t xml:space="preserve">SEMANAL</t>
  </si>
  <si>
    <t xml:space="preserve">DIARIO </t>
  </si>
  <si>
    <t xml:space="preserve">NOMBRES</t>
  </si>
  <si>
    <t xml:space="preserve">APELLIDO</t>
  </si>
  <si>
    <t xml:space="preserve">P.P.T</t>
  </si>
  <si>
    <t xml:space="preserve">NACIONALIDAD </t>
  </si>
  <si>
    <t xml:space="preserve">NUMERO</t>
  </si>
  <si>
    <t xml:space="preserve">semana caida</t>
  </si>
  <si>
    <t xml:space="preserve">Traspaso de propiedad</t>
  </si>
  <si>
    <t xml:space="preserve">PRESTAMO.</t>
  </si>
  <si>
    <t xml:space="preserve">YILVER RAMON </t>
  </si>
  <si>
    <t xml:space="preserve">ZARRAMERA GARCIA</t>
  </si>
  <si>
    <t xml:space="preserve">VENEZOLANO</t>
  </si>
  <si>
    <t xml:space="preserve">300 4428129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</si>
  <si>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</si>
  <si>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</si>
  <si>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</si>
  <si>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</si>
  <si>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</si>
  <si>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</si>
  <si>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</si>
  <si>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exonerada y agregada a su cuenta</t>
  </si>
  <si>
    <t xml:space="preserve"> 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</si>
</sst>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[$$]#,##0"/>
    <numFmt numFmtId="170" formatCode="#,##0.00"/>
    <numFmt numFmtId="171" formatCode="#,##0"/>
    <numFmt numFmtId="172" formatCode="General"/>
    <numFmt numFmtId="173" formatCode="dd/mm/yyyy"/>
    <numFmt numFmtId="174" formatCode="\$#,##0"/>
    <numFmt numFmtId="175" formatCode="\$#,##0.00"/>
  </numFmts>
  <fonts count="3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5"/>
      <color rgb="FF000000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5"/>
      <color rgb="FF000000"/>
      <name val="Arial"/>
      <family val="0"/>
      <charset val="1"/>
    </font>
    <font>
      <sz val="14"/>
      <color rgb="FFFFFFFF"/>
      <name val="Arial"/>
      <family val="0"/>
      <charset val="1"/>
    </font>
    <font>
      <sz val="15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9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sz val="11"/>
      <color rgb="FF46BDC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6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15"/>
      <color rgb="FF000000"/>
      <name val="Arial"/>
      <family val="0"/>
      <charset val="1"/>
    </font>
    <font>
      <sz val="13"/>
      <color rgb="FF00000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3C78D8"/>
      </patternFill>
    </fill>
    <fill>
      <patternFill patternType="solid">
        <fgColor rgb="FF3C78D8"/>
        <bgColor rgb="FF3D85C6"/>
      </patternFill>
    </fill>
    <fill>
      <patternFill patternType="solid">
        <fgColor rgb="FFF2F2F2"/>
        <bgColor rgb="FFFFFFFF"/>
      </patternFill>
    </fill>
    <fill>
      <patternFill patternType="solid">
        <fgColor rgb="FF46BDC6"/>
        <bgColor rgb="FF3D85C6"/>
      </patternFill>
    </fill>
    <fill>
      <patternFill patternType="solid">
        <fgColor rgb="FF1155CC"/>
        <bgColor rgb="FF0077D9"/>
      </patternFill>
    </fill>
    <fill>
      <patternFill patternType="solid">
        <fgColor rgb="FFEA4335"/>
        <bgColor rgb="FFFF6D01"/>
      </patternFill>
    </fill>
    <fill>
      <patternFill patternType="solid">
        <fgColor rgb="FFFF0000"/>
        <bgColor rgb="FFEA4335"/>
      </patternFill>
    </fill>
    <fill>
      <patternFill patternType="solid">
        <fgColor rgb="FF4285F4"/>
        <bgColor rgb="FF3C78D8"/>
      </patternFill>
    </fill>
    <fill>
      <patternFill patternType="solid">
        <fgColor rgb="FF134F5C"/>
        <bgColor rgb="FF333333"/>
      </patternFill>
    </fill>
    <fill>
      <patternFill patternType="solid">
        <fgColor rgb="FF93C47D"/>
        <bgColor rgb="FFB6D7A8"/>
      </patternFill>
    </fill>
    <fill>
      <patternFill patternType="solid">
        <fgColor rgb="FFFFFFFF"/>
        <bgColor rgb="FFF2F2F2"/>
      </patternFill>
    </fill>
    <fill>
      <patternFill patternType="solid">
        <fgColor rgb="FFB7B7B7"/>
        <bgColor rgb="FFB6D7A8"/>
      </patternFill>
    </fill>
    <fill>
      <patternFill patternType="solid">
        <fgColor rgb="FFFF6D01"/>
        <bgColor rgb="FFFF9900"/>
      </patternFill>
    </fill>
    <fill>
      <patternFill patternType="solid">
        <fgColor rgb="FFB6D7A8"/>
        <bgColor rgb="FFB7B7B7"/>
      </patternFill>
    </fill>
    <fill>
      <patternFill patternType="solid">
        <fgColor rgb="FF00FFFF"/>
        <bgColor rgb="FF00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3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75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0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75" fontId="26" fillId="20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EA4335"/>
      <rgbColor rgb="FFF2F2F2"/>
      <rgbColor rgb="FFCCFFFF"/>
      <rgbColor rgb="FF660066"/>
      <rgbColor rgb="FFFF8080"/>
      <rgbColor rgb="FF0077D9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C78D8"/>
      <rgbColor rgb="FF46BDC6"/>
      <rgbColor rgb="FF99CC00"/>
      <rgbColor rgb="FFFFCC00"/>
      <rgbColor rgb="FFFF9900"/>
      <rgbColor rgb="FFFF6D01"/>
      <rgbColor rgb="FF4285F4"/>
      <rgbColor rgb="FF93C47D"/>
      <rgbColor rgb="FF134F5C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28440</xdr:colOff>
      <xdr:row>0</xdr:row>
      <xdr:rowOff>9360</xdr:rowOff>
    </xdr:from>
    <xdr:to>
      <xdr:col>9</xdr:col>
      <xdr:colOff>99000</xdr:colOff>
      <xdr:row>14</xdr:row>
      <xdr:rowOff>123120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3751280" y="9360"/>
          <a:ext cx="1895040" cy="29142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G5" activeCellId="0" sqref="G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51"/>
    <col collapsed="false" customWidth="true" hidden="false" outlineLevel="0" max="2" min="2" style="0" width="19.88"/>
    <col collapsed="false" customWidth="true" hidden="false" outlineLevel="0" max="3" min="3" style="0" width="25.58"/>
    <col collapsed="false" customWidth="true" hidden="false" outlineLevel="0" max="4" min="4" style="0" width="29.21"/>
    <col collapsed="false" customWidth="true" hidden="false" outlineLevel="0" max="5" min="5" style="0" width="29.76"/>
    <col collapsed="false" customWidth="true" hidden="false" outlineLevel="0" max="6" min="6" style="0" width="18.88"/>
    <col collapsed="false" customWidth="true" hidden="false" outlineLevel="0" max="7" min="7" style="0" width="25.73"/>
    <col collapsed="false" customWidth="true" hidden="false" outlineLevel="0" max="8" min="8" style="0" width="26.15"/>
    <col collapsed="false" customWidth="true" hidden="false" outlineLevel="0" max="9" min="9" style="0" width="25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4" t="s">
        <v>9</v>
      </c>
      <c r="C2" s="5" t="n">
        <v>2024</v>
      </c>
      <c r="D2" s="4" t="s">
        <v>10</v>
      </c>
      <c r="E2" s="4" t="s">
        <v>11</v>
      </c>
      <c r="F2" s="6" t="s">
        <v>12</v>
      </c>
      <c r="G2" s="7" t="n">
        <v>5600000</v>
      </c>
      <c r="H2" s="7" t="n">
        <v>450000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16</v>
      </c>
      <c r="H4" s="10" t="s">
        <v>19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1" t="n">
        <v>5600000</v>
      </c>
      <c r="B5" s="12" t="n">
        <v>7261000</v>
      </c>
      <c r="C5" s="13" t="n">
        <f aca="false">A5+B5</f>
        <v>12861000</v>
      </c>
      <c r="D5" s="13" t="n">
        <f aca="false">C5/G5</f>
        <v>494653.8462</v>
      </c>
      <c r="E5" s="14" t="n">
        <f aca="false">D5/2</f>
        <v>247326.9231</v>
      </c>
      <c r="F5" s="15" t="n">
        <f aca="false">D5/4</f>
        <v>123663.4615</v>
      </c>
      <c r="G5" s="16" t="n">
        <v>26</v>
      </c>
      <c r="H5" s="13" t="n">
        <f aca="false">F5/6</f>
        <v>20610.57692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7" t="s">
        <v>20</v>
      </c>
      <c r="B6" s="17" t="s">
        <v>21</v>
      </c>
      <c r="C6" s="17" t="s">
        <v>22</v>
      </c>
      <c r="D6" s="17" t="s">
        <v>23</v>
      </c>
      <c r="E6" s="17" t="s">
        <v>24</v>
      </c>
      <c r="F6" s="18" t="s">
        <v>25</v>
      </c>
      <c r="G6" s="19" t="s">
        <v>26</v>
      </c>
      <c r="H6" s="19" t="s">
        <v>27</v>
      </c>
      <c r="I6" s="2"/>
      <c r="J6" s="3"/>
      <c r="K6" s="20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1" t="s">
        <v>28</v>
      </c>
      <c r="B7" s="22" t="s">
        <v>29</v>
      </c>
      <c r="C7" s="23" t="n">
        <v>1237347</v>
      </c>
      <c r="D7" s="23" t="s">
        <v>30</v>
      </c>
      <c r="E7" s="23" t="s">
        <v>31</v>
      </c>
      <c r="F7" s="24" t="n">
        <v>216000</v>
      </c>
      <c r="G7" s="25" t="n">
        <v>280000</v>
      </c>
      <c r="H7" s="24" t="n">
        <v>600000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6"/>
      <c r="B8" s="26"/>
      <c r="C8" s="26"/>
      <c r="D8" s="26"/>
      <c r="E8" s="27" t="n">
        <v>1202400</v>
      </c>
      <c r="F8" s="28" t="n">
        <v>540000</v>
      </c>
      <c r="G8" s="29"/>
      <c r="H8" s="30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1" t="s">
        <v>32</v>
      </c>
      <c r="B9" s="31"/>
      <c r="C9" s="32" t="s">
        <v>33</v>
      </c>
      <c r="D9" s="32"/>
      <c r="E9" s="32" t="s">
        <v>34</v>
      </c>
      <c r="F9" s="32"/>
      <c r="G9" s="33" t="s">
        <v>35</v>
      </c>
      <c r="H9" s="30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4" t="n">
        <f aca="false">I16+I26+I36+I46+I56+I66+I76+I86+I96+I106+I116+I126+I136+I145+I154+I163</f>
        <v>9152000</v>
      </c>
      <c r="B10" s="34"/>
      <c r="C10" s="35" t="n">
        <f aca="false">C5-A10</f>
        <v>3709000</v>
      </c>
      <c r="D10" s="35"/>
      <c r="E10" s="36" t="n">
        <f aca="false">C10+G10</f>
        <v>6547400</v>
      </c>
      <c r="F10" s="36"/>
      <c r="G10" s="37" t="n">
        <f aca="false">F7+G7+H7+E8+F8</f>
        <v>2838400</v>
      </c>
      <c r="H10" s="38" t="n">
        <f aca="false">I23+I33+I43+I53+I63+I73+I83+I93+I103+I113+I123+I133+I143+I152+I161+I170+I179+I188+I197+I206</f>
        <v>15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4"/>
      <c r="B11" s="34"/>
      <c r="C11" s="35"/>
      <c r="D11" s="35"/>
      <c r="E11" s="36"/>
      <c r="F11" s="36"/>
      <c r="G11" s="37"/>
      <c r="H11" s="38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9" t="s">
        <v>36</v>
      </c>
      <c r="B12" s="39"/>
      <c r="C12" s="39"/>
      <c r="D12" s="39"/>
      <c r="E12" s="40"/>
      <c r="F12" s="41"/>
      <c r="G12" s="41"/>
      <c r="H12" s="3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2" t="s">
        <v>37</v>
      </c>
      <c r="B15" s="42" t="s">
        <v>38</v>
      </c>
      <c r="C15" s="42" t="s">
        <v>37</v>
      </c>
      <c r="D15" s="42" t="s">
        <v>38</v>
      </c>
      <c r="E15" s="42" t="s">
        <v>37</v>
      </c>
      <c r="F15" s="42" t="s">
        <v>38</v>
      </c>
      <c r="G15" s="42" t="s">
        <v>37</v>
      </c>
      <c r="H15" s="42" t="s">
        <v>38</v>
      </c>
      <c r="I15" s="4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4" t="n">
        <v>45740</v>
      </c>
      <c r="B16" s="45" t="n">
        <v>180000</v>
      </c>
      <c r="C16" s="44" t="n">
        <v>45747</v>
      </c>
      <c r="D16" s="45" t="n">
        <v>180000</v>
      </c>
      <c r="E16" s="44" t="n">
        <v>45754</v>
      </c>
      <c r="F16" s="45" t="n">
        <v>180000</v>
      </c>
      <c r="G16" s="44" t="n">
        <v>45761</v>
      </c>
      <c r="H16" s="45" t="n">
        <v>180000</v>
      </c>
      <c r="I16" s="46" t="n">
        <f aca="false">B22+D22+F22+H22</f>
        <v>720000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4" t="n">
        <v>45741</v>
      </c>
      <c r="B17" s="47"/>
      <c r="C17" s="44" t="n">
        <v>45748</v>
      </c>
      <c r="D17" s="47"/>
      <c r="E17" s="44" t="n">
        <v>45755</v>
      </c>
      <c r="F17" s="47"/>
      <c r="G17" s="44" t="n">
        <v>45762</v>
      </c>
      <c r="H17" s="47"/>
      <c r="I17" s="4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4" t="n">
        <v>45742</v>
      </c>
      <c r="B18" s="47"/>
      <c r="C18" s="44" t="n">
        <v>45749</v>
      </c>
      <c r="D18" s="47"/>
      <c r="E18" s="44" t="n">
        <v>45756</v>
      </c>
      <c r="F18" s="47"/>
      <c r="G18" s="44" t="n">
        <v>45763</v>
      </c>
      <c r="H18" s="47"/>
      <c r="I18" s="46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4" t="n">
        <v>45743</v>
      </c>
      <c r="B19" s="47"/>
      <c r="C19" s="44" t="n">
        <v>45750</v>
      </c>
      <c r="D19" s="47"/>
      <c r="E19" s="44" t="n">
        <v>45757</v>
      </c>
      <c r="F19" s="47"/>
      <c r="G19" s="44" t="n">
        <v>45764</v>
      </c>
      <c r="H19" s="47"/>
      <c r="I19" s="4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44" t="n">
        <v>45744</v>
      </c>
      <c r="B20" s="47"/>
      <c r="C20" s="44" t="n">
        <v>45751</v>
      </c>
      <c r="D20" s="47"/>
      <c r="E20" s="44" t="n">
        <v>45758</v>
      </c>
      <c r="F20" s="47"/>
      <c r="G20" s="44" t="n">
        <v>45765</v>
      </c>
      <c r="H20" s="47"/>
      <c r="I20" s="46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44" t="n">
        <v>45745</v>
      </c>
      <c r="B21" s="47"/>
      <c r="C21" s="44" t="n">
        <v>45752</v>
      </c>
      <c r="D21" s="47"/>
      <c r="E21" s="44" t="n">
        <v>45759</v>
      </c>
      <c r="F21" s="47"/>
      <c r="G21" s="44" t="n">
        <v>45766</v>
      </c>
      <c r="H21" s="47"/>
      <c r="I21" s="4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48"/>
      <c r="B22" s="49" t="n">
        <f aca="false">SUM(B16:B21)</f>
        <v>180000</v>
      </c>
      <c r="C22" s="48"/>
      <c r="D22" s="49" t="n">
        <f aca="false">SUM(D16:D21)</f>
        <v>180000</v>
      </c>
      <c r="E22" s="48"/>
      <c r="F22" s="49" t="n">
        <f aca="false">SUM(F16:F21)</f>
        <v>180000</v>
      </c>
      <c r="G22" s="48"/>
      <c r="H22" s="49" t="n">
        <f aca="false">SUM(H16:H21)</f>
        <v>180000</v>
      </c>
      <c r="I22" s="50" t="n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26"/>
      <c r="B23" s="51"/>
      <c r="C23" s="26"/>
      <c r="D23" s="51"/>
      <c r="E23" s="26"/>
      <c r="F23" s="51"/>
      <c r="G23" s="26"/>
      <c r="H23" s="51"/>
      <c r="I23" s="52" t="n">
        <v>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53"/>
      <c r="B24" s="53"/>
      <c r="C24" s="53"/>
      <c r="D24" s="53"/>
      <c r="E24" s="53"/>
      <c r="F24" s="53"/>
      <c r="G24" s="53"/>
      <c r="H24" s="53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3"/>
      <c r="B25" s="43"/>
      <c r="C25" s="43"/>
      <c r="D25" s="43"/>
      <c r="E25" s="43"/>
      <c r="F25" s="43"/>
      <c r="G25" s="43"/>
      <c r="H25" s="43"/>
      <c r="I25" s="4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4" t="n">
        <v>45768</v>
      </c>
      <c r="B26" s="45" t="n">
        <v>180000</v>
      </c>
      <c r="C26" s="44" t="n">
        <v>45775</v>
      </c>
      <c r="D26" s="45" t="n">
        <v>180000</v>
      </c>
      <c r="E26" s="44" t="n">
        <v>45782</v>
      </c>
      <c r="F26" s="45" t="n">
        <v>180000</v>
      </c>
      <c r="G26" s="44" t="n">
        <v>45789</v>
      </c>
      <c r="H26" s="45" t="n">
        <v>180000</v>
      </c>
      <c r="I26" s="46" t="n">
        <f aca="false">B32+D32+F32+H32</f>
        <v>720000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4" t="n">
        <v>45769</v>
      </c>
      <c r="B27" s="54"/>
      <c r="C27" s="44" t="n">
        <v>45776</v>
      </c>
      <c r="D27" s="54"/>
      <c r="E27" s="44" t="n">
        <v>45783</v>
      </c>
      <c r="F27" s="54"/>
      <c r="G27" s="44" t="n">
        <v>45790</v>
      </c>
      <c r="H27" s="54"/>
      <c r="I27" s="4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4" t="n">
        <v>45770</v>
      </c>
      <c r="B28" s="54"/>
      <c r="C28" s="44" t="n">
        <v>45777</v>
      </c>
      <c r="D28" s="54"/>
      <c r="E28" s="44" t="n">
        <v>45784</v>
      </c>
      <c r="F28" s="54"/>
      <c r="G28" s="44" t="n">
        <v>45791</v>
      </c>
      <c r="H28" s="54"/>
      <c r="I28" s="4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4" t="n">
        <v>45771</v>
      </c>
      <c r="B29" s="54"/>
      <c r="C29" s="44" t="n">
        <v>45778</v>
      </c>
      <c r="D29" s="54"/>
      <c r="E29" s="44" t="n">
        <v>45785</v>
      </c>
      <c r="F29" s="54"/>
      <c r="G29" s="44" t="n">
        <v>45792</v>
      </c>
      <c r="H29" s="54"/>
      <c r="I29" s="4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4" t="n">
        <v>45772</v>
      </c>
      <c r="B30" s="54"/>
      <c r="C30" s="44" t="n">
        <v>45779</v>
      </c>
      <c r="D30" s="54"/>
      <c r="E30" s="44" t="n">
        <v>45786</v>
      </c>
      <c r="F30" s="54"/>
      <c r="G30" s="44" t="n">
        <v>45793</v>
      </c>
      <c r="H30" s="54"/>
      <c r="I30" s="4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44" t="n">
        <v>45773</v>
      </c>
      <c r="B31" s="54"/>
      <c r="C31" s="44" t="n">
        <v>45780</v>
      </c>
      <c r="D31" s="54"/>
      <c r="E31" s="44" t="n">
        <v>45787</v>
      </c>
      <c r="F31" s="54"/>
      <c r="G31" s="44" t="n">
        <v>45794</v>
      </c>
      <c r="H31" s="54"/>
      <c r="I31" s="4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8"/>
      <c r="B32" s="49" t="n">
        <f aca="false">SUM(B26:B31)</f>
        <v>180000</v>
      </c>
      <c r="C32" s="48"/>
      <c r="D32" s="49" t="n">
        <f aca="false">SUM(D26:D31)</f>
        <v>180000</v>
      </c>
      <c r="E32" s="48"/>
      <c r="F32" s="49" t="n">
        <f aca="false">SUM(F26:F31)</f>
        <v>180000</v>
      </c>
      <c r="G32" s="48"/>
      <c r="H32" s="49" t="n">
        <f aca="false">SUM(H26:H31)</f>
        <v>180000</v>
      </c>
      <c r="I32" s="50" t="n">
        <v>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26"/>
      <c r="B33" s="51"/>
      <c r="C33" s="26"/>
      <c r="D33" s="51"/>
      <c r="E33" s="26"/>
      <c r="F33" s="51"/>
      <c r="G33" s="26"/>
      <c r="H33" s="51"/>
      <c r="I33" s="52" t="n">
        <v>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53"/>
      <c r="B34" s="53"/>
      <c r="C34" s="53"/>
      <c r="D34" s="53"/>
      <c r="E34" s="53"/>
      <c r="F34" s="53"/>
      <c r="G34" s="53"/>
      <c r="H34" s="53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3"/>
      <c r="B35" s="43"/>
      <c r="C35" s="43"/>
      <c r="D35" s="43"/>
      <c r="E35" s="43"/>
      <c r="F35" s="43"/>
      <c r="G35" s="43"/>
      <c r="H35" s="43"/>
      <c r="I35" s="4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44" t="n">
        <v>45796</v>
      </c>
      <c r="B36" s="45" t="n">
        <v>180000</v>
      </c>
      <c r="C36" s="44" t="n">
        <v>45803</v>
      </c>
      <c r="D36" s="55" t="n">
        <v>180000</v>
      </c>
      <c r="E36" s="44" t="n">
        <v>45810</v>
      </c>
      <c r="F36" s="55" t="n">
        <v>180000</v>
      </c>
      <c r="G36" s="44" t="n">
        <v>45817</v>
      </c>
      <c r="H36" s="55" t="n">
        <v>180000</v>
      </c>
      <c r="I36" s="46" t="n">
        <f aca="false">B42+D42+F42+H42</f>
        <v>720000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4" t="n">
        <v>45797</v>
      </c>
      <c r="B37" s="54"/>
      <c r="C37" s="44" t="n">
        <v>45804</v>
      </c>
      <c r="D37" s="54"/>
      <c r="E37" s="44" t="n">
        <v>45811</v>
      </c>
      <c r="F37" s="54"/>
      <c r="G37" s="44" t="n">
        <v>45818</v>
      </c>
      <c r="H37" s="54"/>
      <c r="I37" s="4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4" t="n">
        <v>45798</v>
      </c>
      <c r="B38" s="54"/>
      <c r="C38" s="44" t="n">
        <v>45805</v>
      </c>
      <c r="D38" s="54"/>
      <c r="E38" s="44" t="n">
        <v>45812</v>
      </c>
      <c r="F38" s="54"/>
      <c r="G38" s="44" t="n">
        <v>45819</v>
      </c>
      <c r="H38" s="54"/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4" t="n">
        <v>45799</v>
      </c>
      <c r="B39" s="54"/>
      <c r="C39" s="44" t="n">
        <v>45806</v>
      </c>
      <c r="D39" s="54"/>
      <c r="E39" s="44" t="n">
        <v>45813</v>
      </c>
      <c r="F39" s="54"/>
      <c r="G39" s="44" t="n">
        <v>45820</v>
      </c>
      <c r="H39" s="54"/>
      <c r="I39" s="4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44" t="n">
        <v>45800</v>
      </c>
      <c r="B40" s="54"/>
      <c r="C40" s="44" t="n">
        <v>45807</v>
      </c>
      <c r="D40" s="56"/>
      <c r="E40" s="44" t="n">
        <v>45814</v>
      </c>
      <c r="F40" s="47"/>
      <c r="G40" s="44" t="n">
        <v>45821</v>
      </c>
      <c r="H40" s="54"/>
      <c r="I40" s="4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44" t="n">
        <v>45801</v>
      </c>
      <c r="B41" s="54"/>
      <c r="C41" s="44" t="n">
        <v>45808</v>
      </c>
      <c r="D41" s="54"/>
      <c r="E41" s="44" t="n">
        <v>45815</v>
      </c>
      <c r="F41" s="54"/>
      <c r="G41" s="44" t="n">
        <v>45822</v>
      </c>
      <c r="H41" s="54"/>
      <c r="I41" s="4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48"/>
      <c r="B42" s="49" t="n">
        <f aca="false">SUM(B36:B41)</f>
        <v>180000</v>
      </c>
      <c r="C42" s="48"/>
      <c r="D42" s="49" t="n">
        <f aca="false">SUM(D36:D41)</f>
        <v>180000</v>
      </c>
      <c r="E42" s="48"/>
      <c r="F42" s="49" t="n">
        <f aca="false">SUM(F36:F41)</f>
        <v>180000</v>
      </c>
      <c r="G42" s="48"/>
      <c r="H42" s="49" t="n">
        <f aca="false">SUM(H36:H41)</f>
        <v>180000</v>
      </c>
      <c r="I42" s="50" t="n">
        <v>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26"/>
      <c r="B43" s="51"/>
      <c r="C43" s="26"/>
      <c r="D43" s="51"/>
      <c r="E43" s="26"/>
      <c r="F43" s="51"/>
      <c r="G43" s="26"/>
      <c r="H43" s="51"/>
      <c r="I43" s="52" t="n">
        <v>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53"/>
      <c r="B44" s="53"/>
      <c r="C44" s="53"/>
      <c r="D44" s="53"/>
      <c r="E44" s="53"/>
      <c r="F44" s="53"/>
      <c r="G44" s="53"/>
      <c r="H44" s="53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43"/>
      <c r="B45" s="43"/>
      <c r="C45" s="43"/>
      <c r="D45" s="43"/>
      <c r="E45" s="43"/>
      <c r="F45" s="43"/>
      <c r="G45" s="43"/>
      <c r="H45" s="43"/>
      <c r="I45" s="4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44" t="n">
        <v>45824</v>
      </c>
      <c r="B46" s="45" t="n">
        <v>180000</v>
      </c>
      <c r="C46" s="44" t="n">
        <v>45831</v>
      </c>
      <c r="D46" s="55" t="n">
        <v>180000</v>
      </c>
      <c r="E46" s="44" t="n">
        <v>45838</v>
      </c>
      <c r="F46" s="55" t="n">
        <v>180000</v>
      </c>
      <c r="G46" s="44" t="n">
        <v>45845</v>
      </c>
      <c r="H46" s="55" t="n">
        <v>180000</v>
      </c>
      <c r="I46" s="46" t="n">
        <f aca="false">B52+D52+F52+H52</f>
        <v>720000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44" t="n">
        <v>45825</v>
      </c>
      <c r="B47" s="54"/>
      <c r="C47" s="44" t="n">
        <v>45832</v>
      </c>
      <c r="D47" s="54"/>
      <c r="E47" s="44" t="n">
        <v>45839</v>
      </c>
      <c r="F47" s="54"/>
      <c r="G47" s="44" t="n">
        <v>45846</v>
      </c>
      <c r="H47" s="54"/>
      <c r="I47" s="4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44" t="n">
        <v>45826</v>
      </c>
      <c r="B48" s="54"/>
      <c r="C48" s="44" t="n">
        <v>45833</v>
      </c>
      <c r="D48" s="54"/>
      <c r="E48" s="44" t="n">
        <v>45840</v>
      </c>
      <c r="F48" s="54"/>
      <c r="G48" s="44" t="n">
        <v>45847</v>
      </c>
      <c r="H48" s="54"/>
      <c r="I48" s="4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44" t="n">
        <v>45827</v>
      </c>
      <c r="B49" s="54"/>
      <c r="C49" s="44" t="n">
        <v>45834</v>
      </c>
      <c r="D49" s="54"/>
      <c r="E49" s="44" t="n">
        <v>45841</v>
      </c>
      <c r="F49" s="54"/>
      <c r="G49" s="44" t="n">
        <v>45848</v>
      </c>
      <c r="H49" s="54"/>
      <c r="I49" s="4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44" t="n">
        <v>45828</v>
      </c>
      <c r="B50" s="54"/>
      <c r="C50" s="44" t="n">
        <v>45835</v>
      </c>
      <c r="D50" s="56"/>
      <c r="E50" s="44" t="n">
        <v>45842</v>
      </c>
      <c r="F50" s="47"/>
      <c r="G50" s="44" t="n">
        <v>45849</v>
      </c>
      <c r="H50" s="54"/>
      <c r="I50" s="4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44" t="n">
        <v>45829</v>
      </c>
      <c r="B51" s="54"/>
      <c r="C51" s="44" t="n">
        <v>45836</v>
      </c>
      <c r="D51" s="54"/>
      <c r="E51" s="44" t="n">
        <v>45843</v>
      </c>
      <c r="F51" s="54"/>
      <c r="G51" s="44" t="n">
        <v>45850</v>
      </c>
      <c r="H51" s="54"/>
      <c r="I51" s="4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48"/>
      <c r="B52" s="49" t="n">
        <f aca="false">SUM(B46:B51)</f>
        <v>180000</v>
      </c>
      <c r="C52" s="48"/>
      <c r="D52" s="49" t="n">
        <f aca="false">SUM(D46:D51)</f>
        <v>180000</v>
      </c>
      <c r="E52" s="48"/>
      <c r="F52" s="49" t="n">
        <f aca="false">SUM(F46:F51)</f>
        <v>180000</v>
      </c>
      <c r="G52" s="48"/>
      <c r="H52" s="49" t="n">
        <f aca="false">SUM(H46:H51)</f>
        <v>180000</v>
      </c>
      <c r="I52" s="50" t="n">
        <v>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26"/>
      <c r="B53" s="51"/>
      <c r="C53" s="26"/>
      <c r="D53" s="51"/>
      <c r="E53" s="26"/>
      <c r="F53" s="51"/>
      <c r="G53" s="26"/>
      <c r="H53" s="51"/>
      <c r="I53" s="52" t="n">
        <v>1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53"/>
      <c r="B54" s="53"/>
      <c r="C54" s="53"/>
      <c r="D54" s="53"/>
      <c r="E54" s="53"/>
      <c r="F54" s="53"/>
      <c r="G54" s="53"/>
      <c r="H54" s="53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43"/>
      <c r="B55" s="43"/>
      <c r="C55" s="43"/>
      <c r="D55" s="43"/>
      <c r="E55" s="43"/>
      <c r="F55" s="43"/>
      <c r="G55" s="43"/>
      <c r="H55" s="43"/>
      <c r="I55" s="4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44" t="n">
        <v>45852</v>
      </c>
      <c r="B56" s="45" t="n">
        <v>180000</v>
      </c>
      <c r="C56" s="44" t="n">
        <v>45859</v>
      </c>
      <c r="D56" s="55" t="n">
        <v>180000</v>
      </c>
      <c r="E56" s="44" t="n">
        <v>45866</v>
      </c>
      <c r="F56" s="55" t="n">
        <v>180000</v>
      </c>
      <c r="G56" s="44" t="n">
        <v>45873</v>
      </c>
      <c r="H56" s="55" t="n">
        <v>180000</v>
      </c>
      <c r="I56" s="46" t="n">
        <f aca="false">B62+D62+F62+H62</f>
        <v>720000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44" t="n">
        <v>45853</v>
      </c>
      <c r="B57" s="54"/>
      <c r="C57" s="44" t="n">
        <v>45860</v>
      </c>
      <c r="D57" s="54"/>
      <c r="E57" s="44" t="n">
        <v>45867</v>
      </c>
      <c r="F57" s="54"/>
      <c r="G57" s="44" t="n">
        <v>45874</v>
      </c>
      <c r="H57" s="54"/>
      <c r="I57" s="4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44" t="n">
        <v>45854</v>
      </c>
      <c r="B58" s="54"/>
      <c r="C58" s="44" t="n">
        <v>45861</v>
      </c>
      <c r="D58" s="54"/>
      <c r="E58" s="44" t="n">
        <v>45868</v>
      </c>
      <c r="F58" s="54"/>
      <c r="G58" s="44" t="n">
        <v>45875</v>
      </c>
      <c r="H58" s="54"/>
      <c r="I58" s="4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44" t="n">
        <v>45855</v>
      </c>
      <c r="B59" s="54"/>
      <c r="C59" s="44" t="n">
        <v>45862</v>
      </c>
      <c r="D59" s="54"/>
      <c r="E59" s="44" t="n">
        <v>45869</v>
      </c>
      <c r="F59" s="54"/>
      <c r="G59" s="44" t="n">
        <v>45876</v>
      </c>
      <c r="H59" s="54"/>
      <c r="I59" s="4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44" t="n">
        <v>45856</v>
      </c>
      <c r="B60" s="54"/>
      <c r="C60" s="44" t="n">
        <v>45863</v>
      </c>
      <c r="D60" s="56"/>
      <c r="E60" s="44" t="n">
        <v>45870</v>
      </c>
      <c r="F60" s="47"/>
      <c r="G60" s="44" t="n">
        <v>45877</v>
      </c>
      <c r="H60" s="54"/>
      <c r="I60" s="4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44" t="n">
        <v>45857</v>
      </c>
      <c r="B61" s="54"/>
      <c r="C61" s="44" t="n">
        <v>45864</v>
      </c>
      <c r="D61" s="54"/>
      <c r="E61" s="44" t="n">
        <v>45871</v>
      </c>
      <c r="F61" s="54"/>
      <c r="G61" s="44" t="n">
        <v>45878</v>
      </c>
      <c r="H61" s="54"/>
      <c r="I61" s="4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48"/>
      <c r="B62" s="49" t="n">
        <f aca="false">SUM(B56:B61)</f>
        <v>180000</v>
      </c>
      <c r="C62" s="48"/>
      <c r="D62" s="49" t="n">
        <f aca="false">SUM(D56:D61)</f>
        <v>180000</v>
      </c>
      <c r="E62" s="48"/>
      <c r="F62" s="49" t="n">
        <f aca="false">SUM(F56:F61)</f>
        <v>180000</v>
      </c>
      <c r="G62" s="48"/>
      <c r="H62" s="49" t="n">
        <f aca="false">SUM(H56:H61)</f>
        <v>180000</v>
      </c>
      <c r="I62" s="50" t="n">
        <v>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26"/>
      <c r="B63" s="51"/>
      <c r="C63" s="26"/>
      <c r="D63" s="51"/>
      <c r="E63" s="26"/>
      <c r="F63" s="51"/>
      <c r="G63" s="26"/>
      <c r="H63" s="51"/>
      <c r="I63" s="52" t="n">
        <v>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43"/>
      <c r="B65" s="43"/>
      <c r="C65" s="43"/>
      <c r="D65" s="43"/>
      <c r="E65" s="43"/>
      <c r="F65" s="43"/>
      <c r="G65" s="43"/>
      <c r="H65" s="43"/>
      <c r="I65" s="4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44" t="n">
        <v>45880</v>
      </c>
      <c r="B66" s="55" t="n">
        <v>180000</v>
      </c>
      <c r="C66" s="44" t="n">
        <v>45887</v>
      </c>
      <c r="D66" s="57" t="n">
        <v>180000</v>
      </c>
      <c r="E66" s="58" t="n">
        <v>45894</v>
      </c>
      <c r="F66" s="59" t="n">
        <v>180000</v>
      </c>
      <c r="G66" s="60" t="n">
        <v>45901</v>
      </c>
      <c r="H66" s="59" t="n">
        <v>180000</v>
      </c>
      <c r="I66" s="46" t="n">
        <f aca="false">B72+D72+F72+H72</f>
        <v>720000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44" t="n">
        <v>45881</v>
      </c>
      <c r="B67" s="54"/>
      <c r="C67" s="44" t="n">
        <v>45888</v>
      </c>
      <c r="D67" s="54"/>
      <c r="E67" s="58" t="n">
        <v>45895</v>
      </c>
      <c r="F67" s="54"/>
      <c r="G67" s="60" t="n">
        <v>45902</v>
      </c>
      <c r="H67" s="54"/>
      <c r="I67" s="4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44" t="n">
        <v>45882</v>
      </c>
      <c r="B68" s="54"/>
      <c r="C68" s="44" t="n">
        <v>45889</v>
      </c>
      <c r="D68" s="54"/>
      <c r="E68" s="58" t="n">
        <v>45896</v>
      </c>
      <c r="F68" s="54"/>
      <c r="G68" s="60" t="n">
        <v>45903</v>
      </c>
      <c r="H68" s="54"/>
      <c r="I68" s="4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44" t="n">
        <v>45883</v>
      </c>
      <c r="B69" s="54"/>
      <c r="C69" s="44" t="n">
        <v>45890</v>
      </c>
      <c r="D69" s="54"/>
      <c r="E69" s="58" t="n">
        <v>45897</v>
      </c>
      <c r="F69" s="54"/>
      <c r="G69" s="60" t="n">
        <v>45904</v>
      </c>
      <c r="H69" s="54"/>
      <c r="I69" s="4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44" t="n">
        <v>45884</v>
      </c>
      <c r="B70" s="54"/>
      <c r="C70" s="44" t="n">
        <v>45891</v>
      </c>
      <c r="D70" s="54"/>
      <c r="E70" s="58" t="n">
        <v>45898</v>
      </c>
      <c r="F70" s="54"/>
      <c r="G70" s="60" t="n">
        <v>45905</v>
      </c>
      <c r="H70" s="54"/>
      <c r="I70" s="4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44" t="n">
        <v>45885</v>
      </c>
      <c r="B71" s="54"/>
      <c r="C71" s="44" t="n">
        <v>45892</v>
      </c>
      <c r="D71" s="54"/>
      <c r="E71" s="58" t="n">
        <v>45899</v>
      </c>
      <c r="F71" s="54"/>
      <c r="G71" s="60" t="n">
        <v>45906</v>
      </c>
      <c r="H71" s="54"/>
      <c r="I71" s="4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48"/>
      <c r="B72" s="49" t="n">
        <f aca="false">SUM(B66:B71)</f>
        <v>180000</v>
      </c>
      <c r="C72" s="48"/>
      <c r="D72" s="49" t="n">
        <f aca="false">SUM(D66:D71)</f>
        <v>180000</v>
      </c>
      <c r="E72" s="48"/>
      <c r="F72" s="49" t="n">
        <f aca="false">SUM(F66:F71)</f>
        <v>180000</v>
      </c>
      <c r="G72" s="48"/>
      <c r="H72" s="49" t="n">
        <f aca="false">SUM(H66:H71)</f>
        <v>180000</v>
      </c>
      <c r="I72" s="50" t="n">
        <v>6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26"/>
      <c r="B73" s="51"/>
      <c r="C73" s="26"/>
      <c r="D73" s="51"/>
      <c r="E73" s="26"/>
      <c r="F73" s="51"/>
      <c r="G73" s="26"/>
      <c r="H73" s="51"/>
      <c r="I73" s="52" t="n">
        <v>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43"/>
      <c r="B75" s="43"/>
      <c r="C75" s="43"/>
      <c r="D75" s="43"/>
      <c r="E75" s="43"/>
      <c r="F75" s="43"/>
      <c r="G75" s="43"/>
      <c r="H75" s="43"/>
      <c r="I75" s="4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44" t="n">
        <v>45908</v>
      </c>
      <c r="B76" s="61" t="n">
        <v>170000</v>
      </c>
      <c r="C76" s="44" t="n">
        <v>45915</v>
      </c>
      <c r="D76" s="54"/>
      <c r="E76" s="44" t="n">
        <v>45922</v>
      </c>
      <c r="F76" s="54"/>
      <c r="G76" s="44" t="n">
        <v>45929</v>
      </c>
      <c r="H76" s="54"/>
      <c r="I76" s="46" t="n">
        <f aca="false">B82+D82+F82+H82</f>
        <v>635000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44" t="n">
        <v>45909</v>
      </c>
      <c r="B77" s="61"/>
      <c r="C77" s="44" t="n">
        <v>45916</v>
      </c>
      <c r="D77" s="54"/>
      <c r="E77" s="44" t="n">
        <v>45923</v>
      </c>
      <c r="F77" s="54"/>
      <c r="G77" s="44" t="n">
        <v>45930</v>
      </c>
      <c r="H77" s="54"/>
      <c r="I77" s="4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44" t="n">
        <v>45910</v>
      </c>
      <c r="B78" s="61"/>
      <c r="C78" s="44" t="n">
        <v>45917</v>
      </c>
      <c r="D78" s="59" t="n">
        <v>180000</v>
      </c>
      <c r="E78" s="44" t="n">
        <v>45924</v>
      </c>
      <c r="F78" s="59" t="n">
        <v>180000</v>
      </c>
      <c r="G78" s="44" t="n">
        <v>45931</v>
      </c>
      <c r="H78" s="59" t="n">
        <v>105000</v>
      </c>
      <c r="I78" s="4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44" t="n">
        <v>45911</v>
      </c>
      <c r="B79" s="61"/>
      <c r="C79" s="44" t="n">
        <v>45918</v>
      </c>
      <c r="D79" s="54"/>
      <c r="E79" s="44" t="n">
        <v>45925</v>
      </c>
      <c r="F79" s="54"/>
      <c r="G79" s="44" t="n">
        <v>45932</v>
      </c>
      <c r="H79" s="54"/>
      <c r="I79" s="4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44" t="n">
        <v>45912</v>
      </c>
      <c r="B80" s="61"/>
      <c r="C80" s="44" t="n">
        <v>45919</v>
      </c>
      <c r="D80" s="54"/>
      <c r="E80" s="44" t="n">
        <v>45926</v>
      </c>
      <c r="F80" s="54"/>
      <c r="G80" s="44" t="n">
        <v>45933</v>
      </c>
      <c r="H80" s="54"/>
      <c r="I80" s="4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44" t="n">
        <v>45913</v>
      </c>
      <c r="B81" s="61"/>
      <c r="C81" s="44" t="n">
        <v>45920</v>
      </c>
      <c r="D81" s="54"/>
      <c r="E81" s="44" t="n">
        <v>45927</v>
      </c>
      <c r="F81" s="54"/>
      <c r="G81" s="44" t="n">
        <v>45934</v>
      </c>
      <c r="H81" s="54"/>
      <c r="I81" s="4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48"/>
      <c r="B82" s="49" t="n">
        <f aca="false">SUM(B76:B81)</f>
        <v>170000</v>
      </c>
      <c r="C82" s="48"/>
      <c r="D82" s="49" t="n">
        <f aca="false">SUM(D76:D81)</f>
        <v>180000</v>
      </c>
      <c r="E82" s="48"/>
      <c r="F82" s="49" t="n">
        <f aca="false">SUM(F76:F81)</f>
        <v>180000</v>
      </c>
      <c r="G82" s="48"/>
      <c r="H82" s="49" t="n">
        <f aca="false">SUM(H76:H81)</f>
        <v>105000</v>
      </c>
      <c r="I82" s="50" t="n">
        <v>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26"/>
      <c r="B83" s="51"/>
      <c r="C83" s="26"/>
      <c r="D83" s="51"/>
      <c r="E83" s="26"/>
      <c r="F83" s="51"/>
      <c r="G83" s="26"/>
      <c r="H83" s="51"/>
      <c r="I83" s="52" t="n">
        <v>1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43"/>
      <c r="B85" s="43"/>
      <c r="C85" s="43"/>
      <c r="D85" s="43"/>
      <c r="E85" s="43"/>
      <c r="F85" s="43"/>
      <c r="G85" s="43"/>
      <c r="H85" s="43"/>
      <c r="I85" s="4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44" t="n">
        <v>45936</v>
      </c>
      <c r="B86" s="61" t="n">
        <v>170000</v>
      </c>
      <c r="C86" s="44" t="n">
        <v>45943</v>
      </c>
      <c r="D86" s="62" t="s">
        <v>39</v>
      </c>
      <c r="E86" s="44" t="n">
        <v>45950</v>
      </c>
      <c r="F86" s="63" t="n">
        <v>180000</v>
      </c>
      <c r="G86" s="44" t="n">
        <v>45957</v>
      </c>
      <c r="H86" s="64" t="n">
        <v>180000</v>
      </c>
      <c r="I86" s="46" t="n">
        <f aca="false">B92+D92+F92+H92</f>
        <v>530000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44" t="n">
        <v>45937</v>
      </c>
      <c r="B87" s="61"/>
      <c r="C87" s="44" t="n">
        <v>45944</v>
      </c>
      <c r="D87" s="62"/>
      <c r="E87" s="44" t="n">
        <v>45951</v>
      </c>
      <c r="F87" s="63"/>
      <c r="G87" s="44" t="n">
        <v>45958</v>
      </c>
      <c r="H87" s="64"/>
      <c r="I87" s="6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44" t="n">
        <v>45938</v>
      </c>
      <c r="B88" s="61"/>
      <c r="C88" s="44" t="n">
        <v>45945</v>
      </c>
      <c r="D88" s="62"/>
      <c r="E88" s="44" t="n">
        <v>45952</v>
      </c>
      <c r="F88" s="63"/>
      <c r="G88" s="44" t="n">
        <v>45959</v>
      </c>
      <c r="H88" s="64"/>
      <c r="I88" s="6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44" t="n">
        <v>45939</v>
      </c>
      <c r="B89" s="61"/>
      <c r="C89" s="44" t="n">
        <v>45946</v>
      </c>
      <c r="D89" s="62"/>
      <c r="E89" s="44" t="n">
        <v>45953</v>
      </c>
      <c r="F89" s="63"/>
      <c r="G89" s="44" t="n">
        <v>45960</v>
      </c>
      <c r="H89" s="64"/>
      <c r="I89" s="6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44" t="n">
        <v>45940</v>
      </c>
      <c r="B90" s="61"/>
      <c r="C90" s="44" t="n">
        <v>45947</v>
      </c>
      <c r="D90" s="62"/>
      <c r="E90" s="44" t="n">
        <v>45954</v>
      </c>
      <c r="F90" s="63"/>
      <c r="G90" s="44" t="n">
        <v>45961</v>
      </c>
      <c r="H90" s="64"/>
      <c r="I90" s="6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44" t="n">
        <v>45941</v>
      </c>
      <c r="B91" s="61"/>
      <c r="C91" s="44" t="n">
        <v>45948</v>
      </c>
      <c r="D91" s="62"/>
      <c r="E91" s="44" t="n">
        <v>45955</v>
      </c>
      <c r="F91" s="63"/>
      <c r="G91" s="44" t="n">
        <v>45962</v>
      </c>
      <c r="H91" s="64"/>
      <c r="I91" s="6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48"/>
      <c r="B92" s="49" t="n">
        <f aca="false">SUM(B86:B91)</f>
        <v>170000</v>
      </c>
      <c r="C92" s="48"/>
      <c r="D92" s="49" t="n">
        <f aca="false">SUM(D86:D91)</f>
        <v>0</v>
      </c>
      <c r="E92" s="48"/>
      <c r="F92" s="49" t="n">
        <f aca="false">SUM(F86:F91)</f>
        <v>180000</v>
      </c>
      <c r="G92" s="48"/>
      <c r="H92" s="49" t="n">
        <f aca="false">SUM(H86:H91)</f>
        <v>180000</v>
      </c>
      <c r="I92" s="50" t="n">
        <v>8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26"/>
      <c r="B93" s="51"/>
      <c r="C93" s="26"/>
      <c r="D93" s="51"/>
      <c r="E93" s="26"/>
      <c r="F93" s="51"/>
      <c r="G93" s="26"/>
      <c r="H93" s="51"/>
      <c r="I93" s="52" t="n">
        <v>1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43"/>
      <c r="B95" s="43"/>
      <c r="C95" s="43"/>
      <c r="D95" s="43"/>
      <c r="E95" s="43"/>
      <c r="F95" s="43"/>
      <c r="G95" s="43"/>
      <c r="H95" s="43"/>
      <c r="I95" s="4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44" t="n">
        <v>45964</v>
      </c>
      <c r="B96" s="65" t="n">
        <v>180000</v>
      </c>
      <c r="C96" s="44" t="n">
        <v>45971</v>
      </c>
      <c r="D96" s="65" t="n">
        <v>180000</v>
      </c>
      <c r="E96" s="44" t="n">
        <v>45978</v>
      </c>
      <c r="F96" s="65" t="n">
        <v>180000</v>
      </c>
      <c r="G96" s="44" t="n">
        <v>45985</v>
      </c>
      <c r="H96" s="65" t="n">
        <v>180000</v>
      </c>
      <c r="I96" s="46" t="n">
        <f aca="false">B102+D102+F102+H102</f>
        <v>720000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44" t="n">
        <v>45965</v>
      </c>
      <c r="B97" s="65"/>
      <c r="C97" s="44" t="n">
        <v>45972</v>
      </c>
      <c r="D97" s="65"/>
      <c r="E97" s="44" t="n">
        <v>45979</v>
      </c>
      <c r="F97" s="65"/>
      <c r="G97" s="44" t="n">
        <v>45986</v>
      </c>
      <c r="H97" s="65"/>
      <c r="I97" s="6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44" t="n">
        <v>45966</v>
      </c>
      <c r="B98" s="65"/>
      <c r="C98" s="44" t="n">
        <v>45973</v>
      </c>
      <c r="D98" s="65"/>
      <c r="E98" s="44" t="n">
        <v>45980</v>
      </c>
      <c r="F98" s="65"/>
      <c r="G98" s="44" t="n">
        <v>45987</v>
      </c>
      <c r="H98" s="65"/>
      <c r="I98" s="6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44" t="n">
        <v>45967</v>
      </c>
      <c r="B99" s="65"/>
      <c r="C99" s="44" t="n">
        <v>45974</v>
      </c>
      <c r="D99" s="65"/>
      <c r="E99" s="44" t="n">
        <v>45981</v>
      </c>
      <c r="F99" s="65"/>
      <c r="G99" s="44" t="n">
        <v>45988</v>
      </c>
      <c r="H99" s="65"/>
      <c r="I99" s="6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44" t="n">
        <v>45968</v>
      </c>
      <c r="B100" s="65"/>
      <c r="C100" s="44" t="n">
        <v>45975</v>
      </c>
      <c r="D100" s="65"/>
      <c r="E100" s="44" t="n">
        <v>45982</v>
      </c>
      <c r="F100" s="65"/>
      <c r="G100" s="44" t="n">
        <v>45989</v>
      </c>
      <c r="H100" s="65"/>
      <c r="I100" s="6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44" t="n">
        <v>45969</v>
      </c>
      <c r="B101" s="65"/>
      <c r="C101" s="44" t="n">
        <v>45976</v>
      </c>
      <c r="D101" s="65"/>
      <c r="E101" s="44" t="n">
        <v>45983</v>
      </c>
      <c r="F101" s="65"/>
      <c r="G101" s="44" t="n">
        <v>45990</v>
      </c>
      <c r="H101" s="65"/>
      <c r="I101" s="6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48"/>
      <c r="B102" s="49" t="n">
        <f aca="false">SUM(B96:B101)</f>
        <v>180000</v>
      </c>
      <c r="C102" s="48"/>
      <c r="D102" s="49" t="n">
        <f aca="false">SUM(D96:D101)</f>
        <v>180000</v>
      </c>
      <c r="E102" s="48"/>
      <c r="F102" s="49" t="n">
        <f aca="false">SUM(F96:F101)</f>
        <v>180000</v>
      </c>
      <c r="G102" s="48"/>
      <c r="H102" s="49" t="n">
        <f aca="false">SUM(H96:H101)</f>
        <v>180000</v>
      </c>
      <c r="I102" s="50" t="n">
        <v>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26"/>
      <c r="B103" s="51"/>
      <c r="C103" s="26"/>
      <c r="D103" s="51"/>
      <c r="E103" s="26"/>
      <c r="F103" s="51"/>
      <c r="G103" s="26"/>
      <c r="H103" s="51"/>
      <c r="I103" s="52" t="n">
        <v>1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43"/>
      <c r="B105" s="43"/>
      <c r="C105" s="43"/>
      <c r="D105" s="43"/>
      <c r="E105" s="43"/>
      <c r="F105" s="43"/>
      <c r="G105" s="43"/>
      <c r="H105" s="43"/>
      <c r="I105" s="4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44" t="n">
        <v>45992</v>
      </c>
      <c r="B106" s="66" t="n">
        <v>180000</v>
      </c>
      <c r="C106" s="44" t="n">
        <v>45999</v>
      </c>
      <c r="D106" s="66" t="n">
        <v>180000</v>
      </c>
      <c r="E106" s="44" t="n">
        <v>46006</v>
      </c>
      <c r="F106" s="66" t="n">
        <v>180000</v>
      </c>
      <c r="G106" s="44" t="n">
        <v>46013</v>
      </c>
      <c r="H106" s="66" t="n">
        <v>180000</v>
      </c>
      <c r="I106" s="46" t="n">
        <f aca="false">B112+D112+F112+H112</f>
        <v>720000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44" t="n">
        <v>45993</v>
      </c>
      <c r="B107" s="66"/>
      <c r="C107" s="44" t="n">
        <v>46000</v>
      </c>
      <c r="D107" s="66"/>
      <c r="E107" s="44" t="n">
        <v>46007</v>
      </c>
      <c r="F107" s="66"/>
      <c r="G107" s="44" t="n">
        <v>46014</v>
      </c>
      <c r="H107" s="66"/>
      <c r="I107" s="6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44" t="n">
        <v>45994</v>
      </c>
      <c r="B108" s="66"/>
      <c r="C108" s="44" t="n">
        <v>46001</v>
      </c>
      <c r="D108" s="66"/>
      <c r="E108" s="44" t="n">
        <v>46008</v>
      </c>
      <c r="F108" s="66"/>
      <c r="G108" s="44" t="n">
        <v>46015</v>
      </c>
      <c r="H108" s="66"/>
      <c r="I108" s="6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44" t="n">
        <v>45995</v>
      </c>
      <c r="B109" s="66"/>
      <c r="C109" s="44" t="n">
        <v>46002</v>
      </c>
      <c r="D109" s="66"/>
      <c r="E109" s="44" t="n">
        <v>46009</v>
      </c>
      <c r="F109" s="66"/>
      <c r="G109" s="44" t="n">
        <v>46016</v>
      </c>
      <c r="H109" s="66"/>
      <c r="I109" s="6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44" t="n">
        <v>45996</v>
      </c>
      <c r="B110" s="66"/>
      <c r="C110" s="44" t="n">
        <v>46003</v>
      </c>
      <c r="D110" s="66"/>
      <c r="E110" s="44" t="n">
        <v>46010</v>
      </c>
      <c r="F110" s="66"/>
      <c r="G110" s="44" t="n">
        <v>46017</v>
      </c>
      <c r="H110" s="66"/>
      <c r="I110" s="6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44" t="n">
        <v>45997</v>
      </c>
      <c r="B111" s="66"/>
      <c r="C111" s="44" t="n">
        <v>46004</v>
      </c>
      <c r="D111" s="66"/>
      <c r="E111" s="44" t="n">
        <v>46011</v>
      </c>
      <c r="F111" s="66"/>
      <c r="G111" s="44" t="n">
        <v>46018</v>
      </c>
      <c r="H111" s="66"/>
      <c r="I111" s="6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48"/>
      <c r="B112" s="49" t="n">
        <f aca="false">SUM(B106:B111)</f>
        <v>180000</v>
      </c>
      <c r="C112" s="48"/>
      <c r="D112" s="49" t="n">
        <f aca="false">SUM(D106:D111)</f>
        <v>180000</v>
      </c>
      <c r="E112" s="48"/>
      <c r="F112" s="49" t="n">
        <f aca="false">SUM(F106:F111)</f>
        <v>180000</v>
      </c>
      <c r="G112" s="48"/>
      <c r="H112" s="49" t="n">
        <f aca="false">SUM(H106:H111)</f>
        <v>180000</v>
      </c>
      <c r="I112" s="50" t="n">
        <v>10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26"/>
      <c r="B113" s="51"/>
      <c r="C113" s="26"/>
      <c r="D113" s="51"/>
      <c r="E113" s="26"/>
      <c r="F113" s="51"/>
      <c r="G113" s="26"/>
      <c r="H113" s="51"/>
      <c r="I113" s="52" t="n">
        <v>1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43"/>
      <c r="B115" s="43"/>
      <c r="C115" s="43"/>
      <c r="D115" s="43"/>
      <c r="E115" s="43"/>
      <c r="F115" s="43"/>
      <c r="G115" s="43"/>
      <c r="H115" s="43"/>
      <c r="I115" s="4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44" t="n">
        <v>46020</v>
      </c>
      <c r="B116" s="66" t="n">
        <v>120000</v>
      </c>
      <c r="C116" s="44" t="n">
        <v>46027</v>
      </c>
      <c r="D116" s="66" t="n">
        <v>180000</v>
      </c>
      <c r="E116" s="44" t="n">
        <v>46034</v>
      </c>
      <c r="F116" s="66" t="n">
        <v>180000</v>
      </c>
      <c r="G116" s="44" t="n">
        <v>46041</v>
      </c>
      <c r="H116" s="66" t="n">
        <v>180000</v>
      </c>
      <c r="I116" s="46" t="n">
        <f aca="false">B122+D122+F122+H122</f>
        <v>660000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44" t="n">
        <v>46021</v>
      </c>
      <c r="B117" s="66"/>
      <c r="C117" s="44" t="n">
        <v>46028</v>
      </c>
      <c r="D117" s="66"/>
      <c r="E117" s="44" t="n">
        <v>46035</v>
      </c>
      <c r="F117" s="66"/>
      <c r="G117" s="44" t="n">
        <v>46042</v>
      </c>
      <c r="H117" s="66"/>
      <c r="I117" s="6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44" t="n">
        <v>46022</v>
      </c>
      <c r="B118" s="66"/>
      <c r="C118" s="44" t="n">
        <v>46029</v>
      </c>
      <c r="D118" s="66"/>
      <c r="E118" s="44" t="n">
        <v>46036</v>
      </c>
      <c r="F118" s="66"/>
      <c r="G118" s="44" t="n">
        <v>46043</v>
      </c>
      <c r="H118" s="66"/>
      <c r="I118" s="6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44" t="n">
        <v>46023</v>
      </c>
      <c r="B119" s="66"/>
      <c r="C119" s="44" t="n">
        <v>46030</v>
      </c>
      <c r="D119" s="66"/>
      <c r="E119" s="44" t="n">
        <v>46037</v>
      </c>
      <c r="F119" s="66"/>
      <c r="G119" s="44" t="n">
        <v>46044</v>
      </c>
      <c r="H119" s="66"/>
      <c r="I119" s="6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44" t="n">
        <v>46024</v>
      </c>
      <c r="B120" s="66"/>
      <c r="C120" s="44" t="n">
        <v>46031</v>
      </c>
      <c r="D120" s="66"/>
      <c r="E120" s="44" t="n">
        <v>46038</v>
      </c>
      <c r="F120" s="66"/>
      <c r="G120" s="44" t="n">
        <v>46045</v>
      </c>
      <c r="H120" s="66"/>
      <c r="I120" s="6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44" t="n">
        <v>46025</v>
      </c>
      <c r="B121" s="66"/>
      <c r="C121" s="44" t="n">
        <v>46032</v>
      </c>
      <c r="D121" s="66"/>
      <c r="E121" s="44" t="n">
        <v>46039</v>
      </c>
      <c r="F121" s="66"/>
      <c r="G121" s="44" t="n">
        <v>46046</v>
      </c>
      <c r="H121" s="66"/>
      <c r="I121" s="6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48"/>
      <c r="B122" s="49" t="n">
        <f aca="false">SUM(B116:B121)</f>
        <v>120000</v>
      </c>
      <c r="C122" s="48"/>
      <c r="D122" s="49" t="n">
        <f aca="false">SUM(D116:D121)</f>
        <v>180000</v>
      </c>
      <c r="E122" s="48"/>
      <c r="F122" s="49" t="n">
        <f aca="false">SUM(F116:F121)</f>
        <v>180000</v>
      </c>
      <c r="G122" s="48"/>
      <c r="H122" s="49" t="n">
        <f aca="false">SUM(H116:H121)</f>
        <v>180000</v>
      </c>
      <c r="I122" s="50" t="n">
        <v>11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26"/>
      <c r="B123" s="51"/>
      <c r="C123" s="26"/>
      <c r="D123" s="51"/>
      <c r="E123" s="26"/>
      <c r="F123" s="51"/>
      <c r="G123" s="26"/>
      <c r="H123" s="51"/>
      <c r="I123" s="52" t="n">
        <v>1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43"/>
      <c r="B125" s="43"/>
      <c r="C125" s="43"/>
      <c r="D125" s="43"/>
      <c r="E125" s="43"/>
      <c r="F125" s="43"/>
      <c r="G125" s="43"/>
      <c r="H125" s="43"/>
      <c r="I125" s="4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44" t="n">
        <v>46048</v>
      </c>
      <c r="B126" s="66" t="n">
        <v>180000</v>
      </c>
      <c r="C126" s="44" t="n">
        <v>46055</v>
      </c>
      <c r="D126" s="66" t="n">
        <v>180000</v>
      </c>
      <c r="E126" s="44" t="n">
        <v>46062</v>
      </c>
      <c r="F126" s="66" t="n">
        <v>180000</v>
      </c>
      <c r="G126" s="44" t="n">
        <v>46069</v>
      </c>
      <c r="H126" s="66" t="n">
        <v>180000</v>
      </c>
      <c r="I126" s="46" t="n">
        <f aca="false">B132+D132+F132+H132</f>
        <v>720000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44" t="n">
        <v>46049</v>
      </c>
      <c r="B127" s="66"/>
      <c r="C127" s="44" t="n">
        <v>46056</v>
      </c>
      <c r="D127" s="66"/>
      <c r="E127" s="44" t="n">
        <v>46063</v>
      </c>
      <c r="F127" s="66"/>
      <c r="G127" s="44" t="n">
        <v>46070</v>
      </c>
      <c r="H127" s="66"/>
      <c r="I127" s="6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44" t="n">
        <v>46050</v>
      </c>
      <c r="B128" s="66"/>
      <c r="C128" s="44" t="n">
        <v>46057</v>
      </c>
      <c r="D128" s="66"/>
      <c r="E128" s="44" t="n">
        <v>46064</v>
      </c>
      <c r="F128" s="66"/>
      <c r="G128" s="44" t="n">
        <v>46071</v>
      </c>
      <c r="H128" s="66"/>
      <c r="I128" s="6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44" t="n">
        <v>46051</v>
      </c>
      <c r="B129" s="66"/>
      <c r="C129" s="44" t="n">
        <v>46058</v>
      </c>
      <c r="D129" s="66"/>
      <c r="E129" s="44" t="n">
        <v>46065</v>
      </c>
      <c r="F129" s="66"/>
      <c r="G129" s="44" t="n">
        <v>46072</v>
      </c>
      <c r="H129" s="66"/>
      <c r="I129" s="6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44" t="n">
        <v>46052</v>
      </c>
      <c r="B130" s="66"/>
      <c r="C130" s="44" t="n">
        <v>46059</v>
      </c>
      <c r="D130" s="66"/>
      <c r="E130" s="44" t="n">
        <v>46066</v>
      </c>
      <c r="F130" s="66"/>
      <c r="G130" s="44" t="n">
        <v>46073</v>
      </c>
      <c r="H130" s="66"/>
      <c r="I130" s="6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44" t="n">
        <v>46053</v>
      </c>
      <c r="B131" s="66"/>
      <c r="C131" s="44" t="n">
        <v>46060</v>
      </c>
      <c r="D131" s="66"/>
      <c r="E131" s="44" t="n">
        <v>46067</v>
      </c>
      <c r="F131" s="66"/>
      <c r="G131" s="44" t="n">
        <v>46074</v>
      </c>
      <c r="H131" s="66"/>
      <c r="I131" s="6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48"/>
      <c r="B132" s="49" t="n">
        <f aca="false">SUM(B126:B131)</f>
        <v>180000</v>
      </c>
      <c r="C132" s="48"/>
      <c r="D132" s="49" t="n">
        <f aca="false">SUM(D126:D131)</f>
        <v>180000</v>
      </c>
      <c r="E132" s="48"/>
      <c r="F132" s="49" t="n">
        <f aca="false">SUM(F126:F131)</f>
        <v>180000</v>
      </c>
      <c r="G132" s="48"/>
      <c r="H132" s="49" t="n">
        <f aca="false">SUM(H126:H131)</f>
        <v>180000</v>
      </c>
      <c r="I132" s="50" t="n">
        <v>12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26"/>
      <c r="B133" s="51"/>
      <c r="C133" s="26"/>
      <c r="D133" s="51"/>
      <c r="E133" s="26"/>
      <c r="F133" s="51"/>
      <c r="G133" s="26"/>
      <c r="H133" s="51"/>
      <c r="I133" s="52" t="n">
        <v>1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43"/>
      <c r="B135" s="43"/>
      <c r="C135" s="43"/>
      <c r="D135" s="43"/>
      <c r="E135" s="43"/>
      <c r="F135" s="43"/>
      <c r="G135" s="43"/>
      <c r="H135" s="43"/>
      <c r="I135" s="4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44" t="n">
        <v>46076</v>
      </c>
      <c r="B136" s="67"/>
      <c r="C136" s="44" t="n">
        <v>46083</v>
      </c>
      <c r="D136" s="67"/>
      <c r="E136" s="44" t="n">
        <v>46090</v>
      </c>
      <c r="F136" s="67"/>
      <c r="G136" s="44" t="n">
        <v>46097</v>
      </c>
      <c r="H136" s="67"/>
      <c r="I136" s="46" t="n">
        <f aca="false">B142+D142+F142+H142</f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44" t="n">
        <v>46077</v>
      </c>
      <c r="B137" s="68"/>
      <c r="C137" s="44" t="n">
        <v>46084</v>
      </c>
      <c r="D137" s="68"/>
      <c r="E137" s="44" t="n">
        <v>46091</v>
      </c>
      <c r="F137" s="68"/>
      <c r="G137" s="44" t="n">
        <v>46098</v>
      </c>
      <c r="H137" s="68"/>
      <c r="I137" s="4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44" t="n">
        <v>46078</v>
      </c>
      <c r="B138" s="68"/>
      <c r="C138" s="44" t="n">
        <v>46085</v>
      </c>
      <c r="D138" s="68"/>
      <c r="E138" s="44" t="n">
        <v>46092</v>
      </c>
      <c r="F138" s="68"/>
      <c r="G138" s="44" t="n">
        <v>46099</v>
      </c>
      <c r="H138" s="68"/>
      <c r="I138" s="4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44" t="n">
        <v>46079</v>
      </c>
      <c r="B139" s="68"/>
      <c r="C139" s="44" t="n">
        <v>46086</v>
      </c>
      <c r="D139" s="68"/>
      <c r="E139" s="44" t="n">
        <v>46093</v>
      </c>
      <c r="F139" s="68"/>
      <c r="G139" s="44" t="n">
        <v>46100</v>
      </c>
      <c r="H139" s="68"/>
      <c r="I139" s="4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44" t="n">
        <v>46080</v>
      </c>
      <c r="B140" s="68"/>
      <c r="C140" s="44" t="n">
        <v>46087</v>
      </c>
      <c r="D140" s="68"/>
      <c r="E140" s="44" t="n">
        <v>46094</v>
      </c>
      <c r="F140" s="68"/>
      <c r="G140" s="44" t="n">
        <v>46101</v>
      </c>
      <c r="H140" s="68"/>
      <c r="I140" s="4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44" t="n">
        <v>46081</v>
      </c>
      <c r="B141" s="68"/>
      <c r="C141" s="44" t="n">
        <v>46088</v>
      </c>
      <c r="D141" s="68"/>
      <c r="E141" s="44" t="n">
        <v>46095</v>
      </c>
      <c r="F141" s="68"/>
      <c r="G141" s="44" t="n">
        <v>46102</v>
      </c>
      <c r="H141" s="68"/>
      <c r="I141" s="4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48"/>
      <c r="B142" s="49" t="n">
        <f aca="false">SUM(B136:B141)</f>
        <v>0</v>
      </c>
      <c r="C142" s="48"/>
      <c r="D142" s="49" t="n">
        <f aca="false">SUM(D136:D141)</f>
        <v>0</v>
      </c>
      <c r="E142" s="48"/>
      <c r="F142" s="49" t="n">
        <f aca="false">SUM(F136:F141)</f>
        <v>0</v>
      </c>
      <c r="G142" s="48"/>
      <c r="H142" s="49" t="n">
        <f aca="false">SUM(H136:H141)</f>
        <v>0</v>
      </c>
      <c r="I142" s="50" t="n">
        <v>13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26"/>
      <c r="B143" s="51"/>
      <c r="C143" s="26"/>
      <c r="D143" s="51"/>
      <c r="E143" s="26"/>
      <c r="F143" s="51"/>
      <c r="G143" s="26"/>
      <c r="H143" s="51"/>
      <c r="I143" s="52" t="n">
        <v>1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44" t="n">
        <v>46104</v>
      </c>
      <c r="B145" s="67"/>
      <c r="C145" s="44" t="n">
        <v>46111</v>
      </c>
      <c r="D145" s="69" t="n">
        <v>103000</v>
      </c>
      <c r="E145" s="44" t="n">
        <v>46118</v>
      </c>
      <c r="F145" s="69" t="n">
        <v>124000</v>
      </c>
      <c r="G145" s="44" t="n">
        <v>46125</v>
      </c>
      <c r="H145" s="69" t="n">
        <v>124000</v>
      </c>
      <c r="I145" s="46" t="n">
        <f aca="false">B151+D151+F151+H151</f>
        <v>351000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44" t="n">
        <v>46105</v>
      </c>
      <c r="B146" s="68"/>
      <c r="C146" s="44" t="n">
        <v>46112</v>
      </c>
      <c r="D146" s="47"/>
      <c r="E146" s="44" t="n">
        <v>46119</v>
      </c>
      <c r="F146" s="47"/>
      <c r="G146" s="44" t="n">
        <v>46126</v>
      </c>
      <c r="H146" s="47"/>
      <c r="I146" s="4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44" t="n">
        <v>46106</v>
      </c>
      <c r="B147" s="68"/>
      <c r="C147" s="44" t="n">
        <v>46113</v>
      </c>
      <c r="D147" s="47"/>
      <c r="E147" s="44" t="n">
        <v>46120</v>
      </c>
      <c r="F147" s="47"/>
      <c r="G147" s="44" t="n">
        <v>46127</v>
      </c>
      <c r="H147" s="47"/>
      <c r="I147" s="4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44" t="n">
        <v>46107</v>
      </c>
      <c r="B148" s="68"/>
      <c r="C148" s="44" t="n">
        <v>46114</v>
      </c>
      <c r="D148" s="47"/>
      <c r="E148" s="44" t="n">
        <v>46121</v>
      </c>
      <c r="F148" s="47"/>
      <c r="G148" s="44" t="n">
        <v>46128</v>
      </c>
      <c r="H148" s="47"/>
      <c r="I148" s="4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44" t="n">
        <v>46108</v>
      </c>
      <c r="B149" s="68"/>
      <c r="C149" s="44" t="n">
        <v>46115</v>
      </c>
      <c r="D149" s="47"/>
      <c r="E149" s="44" t="n">
        <v>46122</v>
      </c>
      <c r="F149" s="47"/>
      <c r="G149" s="44" t="n">
        <v>46129</v>
      </c>
      <c r="H149" s="47"/>
      <c r="I149" s="4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44" t="n">
        <v>46109</v>
      </c>
      <c r="B150" s="68"/>
      <c r="C150" s="44" t="n">
        <v>46116</v>
      </c>
      <c r="D150" s="47"/>
      <c r="E150" s="44" t="n">
        <v>46123</v>
      </c>
      <c r="F150" s="47"/>
      <c r="G150" s="44" t="n">
        <v>46130</v>
      </c>
      <c r="H150" s="47"/>
      <c r="I150" s="4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48"/>
      <c r="B151" s="49" t="n">
        <f aca="false">SUM(B145:B150)</f>
        <v>0</v>
      </c>
      <c r="C151" s="48"/>
      <c r="D151" s="49" t="n">
        <f aca="false">SUM(D145:D150)</f>
        <v>103000</v>
      </c>
      <c r="E151" s="48"/>
      <c r="F151" s="49" t="n">
        <f aca="false">SUM(F145:F150)</f>
        <v>124000</v>
      </c>
      <c r="G151" s="48"/>
      <c r="H151" s="49" t="n">
        <f aca="false">SUM(H145:H150)</f>
        <v>124000</v>
      </c>
      <c r="I151" s="50" t="n">
        <v>14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26"/>
      <c r="B152" s="51"/>
      <c r="C152" s="26"/>
      <c r="D152" s="51"/>
      <c r="E152" s="26"/>
      <c r="F152" s="51"/>
      <c r="G152" s="26"/>
      <c r="H152" s="51"/>
      <c r="I152" s="52" t="n">
        <v>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44" t="n">
        <v>46132</v>
      </c>
      <c r="B154" s="69" t="n">
        <v>124000</v>
      </c>
      <c r="C154" s="44" t="n">
        <v>46139</v>
      </c>
      <c r="D154" s="69" t="n">
        <v>124000</v>
      </c>
      <c r="E154" s="44" t="n">
        <v>46146</v>
      </c>
      <c r="F154" s="69" t="n">
        <v>124000</v>
      </c>
      <c r="G154" s="44" t="n">
        <v>46153</v>
      </c>
      <c r="H154" s="69" t="n">
        <v>124000</v>
      </c>
      <c r="I154" s="46" t="n">
        <f aca="false">B160+D160+F160+H160</f>
        <v>496000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44" t="n">
        <v>46133</v>
      </c>
      <c r="B155" s="47"/>
      <c r="C155" s="70" t="n">
        <v>46140</v>
      </c>
      <c r="D155" s="47"/>
      <c r="E155" s="44" t="n">
        <v>46147</v>
      </c>
      <c r="F155" s="47"/>
      <c r="G155" s="44" t="n">
        <v>46154</v>
      </c>
      <c r="H155" s="47"/>
      <c r="I155" s="4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70" t="n">
        <v>46134</v>
      </c>
      <c r="B156" s="47"/>
      <c r="C156" s="44" t="n">
        <v>46141</v>
      </c>
      <c r="D156" s="47"/>
      <c r="E156" s="44" t="n">
        <v>46148</v>
      </c>
      <c r="F156" s="47"/>
      <c r="G156" s="44" t="n">
        <v>46155</v>
      </c>
      <c r="H156" s="47"/>
      <c r="I156" s="4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44" t="n">
        <v>46135</v>
      </c>
      <c r="B157" s="47"/>
      <c r="C157" s="44" t="n">
        <v>46142</v>
      </c>
      <c r="D157" s="47"/>
      <c r="E157" s="44" t="n">
        <v>46149</v>
      </c>
      <c r="F157" s="47"/>
      <c r="G157" s="44" t="n">
        <v>46156</v>
      </c>
      <c r="H157" s="47"/>
      <c r="I157" s="4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44" t="n">
        <v>46136</v>
      </c>
      <c r="B158" s="47"/>
      <c r="C158" s="44" t="n">
        <v>46143</v>
      </c>
      <c r="D158" s="47"/>
      <c r="E158" s="44" t="n">
        <v>46150</v>
      </c>
      <c r="F158" s="47"/>
      <c r="G158" s="70" t="n">
        <v>46157</v>
      </c>
      <c r="H158" s="47"/>
      <c r="I158" s="4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44" t="n">
        <v>46137</v>
      </c>
      <c r="B159" s="47"/>
      <c r="C159" s="44" t="n">
        <v>46144</v>
      </c>
      <c r="D159" s="47"/>
      <c r="E159" s="44" t="n">
        <v>46151</v>
      </c>
      <c r="F159" s="47"/>
      <c r="G159" s="44" t="n">
        <v>46158</v>
      </c>
      <c r="H159" s="47"/>
      <c r="I159" s="4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48"/>
      <c r="B160" s="49" t="n">
        <f aca="false">SUM(B154:B159)</f>
        <v>124000</v>
      </c>
      <c r="C160" s="48"/>
      <c r="D160" s="49" t="n">
        <f aca="false">SUM(D154:D159)</f>
        <v>124000</v>
      </c>
      <c r="E160" s="48"/>
      <c r="F160" s="49" t="n">
        <f aca="false">SUM(F154:F159)</f>
        <v>124000</v>
      </c>
      <c r="G160" s="48"/>
      <c r="H160" s="49" t="n">
        <f aca="false">SUM(H154:H159)</f>
        <v>124000</v>
      </c>
      <c r="I160" s="50" t="n">
        <v>15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26"/>
      <c r="B161" s="51"/>
      <c r="C161" s="26"/>
      <c r="D161" s="51"/>
      <c r="E161" s="26"/>
      <c r="F161" s="51"/>
      <c r="G161" s="26"/>
      <c r="H161" s="51"/>
      <c r="I161" s="52" t="n">
        <v>1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71"/>
      <c r="B162" s="71"/>
      <c r="C162" s="71"/>
      <c r="D162" s="71"/>
      <c r="E162" s="71"/>
      <c r="F162" s="71"/>
      <c r="G162" s="71"/>
      <c r="H162" s="71"/>
      <c r="I162" s="7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44" t="n">
        <v>46160</v>
      </c>
      <c r="B163" s="67"/>
      <c r="C163" s="44" t="n">
        <v>46167</v>
      </c>
      <c r="D163" s="45"/>
      <c r="E163" s="44" t="n">
        <v>46174</v>
      </c>
      <c r="F163" s="45"/>
      <c r="G163" s="44" t="n">
        <v>46181</v>
      </c>
      <c r="H163" s="45"/>
      <c r="I163" s="46" t="n">
        <f aca="false">B169+D169+F169+H169</f>
        <v>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70" t="n">
        <v>46161</v>
      </c>
      <c r="B164" s="68"/>
      <c r="C164" s="44" t="n">
        <v>46168</v>
      </c>
      <c r="D164" s="47"/>
      <c r="E164" s="44" t="n">
        <v>46175</v>
      </c>
      <c r="F164" s="47"/>
      <c r="G164" s="44" t="n">
        <v>46182</v>
      </c>
      <c r="H164" s="47"/>
      <c r="I164" s="4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44" t="n">
        <v>46162</v>
      </c>
      <c r="B165" s="68"/>
      <c r="C165" s="44" t="n">
        <v>46169</v>
      </c>
      <c r="D165" s="47"/>
      <c r="E165" s="44" t="n">
        <v>46176</v>
      </c>
      <c r="F165" s="47"/>
      <c r="G165" s="44" t="n">
        <v>46183</v>
      </c>
      <c r="H165" s="47"/>
      <c r="I165" s="4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44" t="n">
        <v>46163</v>
      </c>
      <c r="B166" s="68"/>
      <c r="C166" s="44" t="n">
        <v>46170</v>
      </c>
      <c r="D166" s="47"/>
      <c r="E166" s="44" t="n">
        <v>46177</v>
      </c>
      <c r="F166" s="47"/>
      <c r="G166" s="44" t="n">
        <v>46184</v>
      </c>
      <c r="H166" s="47"/>
      <c r="I166" s="4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44" t="n">
        <v>46164</v>
      </c>
      <c r="B167" s="68"/>
      <c r="C167" s="44" t="n">
        <v>46171</v>
      </c>
      <c r="D167" s="47"/>
      <c r="E167" s="44" t="n">
        <v>46178</v>
      </c>
      <c r="F167" s="47"/>
      <c r="G167" s="44" t="n">
        <v>46185</v>
      </c>
      <c r="H167" s="47"/>
      <c r="I167" s="4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44" t="n">
        <v>46165</v>
      </c>
      <c r="B168" s="67"/>
      <c r="C168" s="44" t="n">
        <v>46172</v>
      </c>
      <c r="D168" s="47"/>
      <c r="E168" s="44" t="n">
        <v>46179</v>
      </c>
      <c r="F168" s="47"/>
      <c r="G168" s="44" t="n">
        <v>46186</v>
      </c>
      <c r="H168" s="47"/>
      <c r="I168" s="4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48"/>
      <c r="B169" s="49" t="n">
        <f aca="false">SUM(B163:B168)</f>
        <v>0</v>
      </c>
      <c r="C169" s="48"/>
      <c r="D169" s="49" t="n">
        <f aca="false">SUM(D163:D168)</f>
        <v>0</v>
      </c>
      <c r="E169" s="48"/>
      <c r="F169" s="49" t="n">
        <f aca="false">SUM(F163:F168)</f>
        <v>0</v>
      </c>
      <c r="G169" s="48"/>
      <c r="H169" s="49" t="n">
        <f aca="false">SUM(H163:H168)</f>
        <v>0</v>
      </c>
      <c r="I169" s="50" t="n">
        <v>16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26"/>
      <c r="B170" s="51"/>
      <c r="C170" s="26"/>
      <c r="D170" s="51"/>
      <c r="E170" s="26"/>
      <c r="F170" s="51"/>
      <c r="G170" s="26"/>
      <c r="H170" s="51"/>
      <c r="I170" s="5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44" t="n">
        <v>46188</v>
      </c>
      <c r="B172" s="45"/>
      <c r="C172" s="44" t="n">
        <v>46195</v>
      </c>
      <c r="D172" s="45"/>
      <c r="E172" s="44" t="n">
        <v>46202</v>
      </c>
      <c r="F172" s="45"/>
      <c r="G172" s="44" t="n">
        <v>46209</v>
      </c>
      <c r="H172" s="45"/>
      <c r="I172" s="46" t="n">
        <f aca="false">B178+D178+F178+H178</f>
        <v>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44" t="n">
        <v>46189</v>
      </c>
      <c r="B173" s="47"/>
      <c r="C173" s="44" t="n">
        <v>46196</v>
      </c>
      <c r="D173" s="47"/>
      <c r="E173" s="44" t="n">
        <v>46203</v>
      </c>
      <c r="F173" s="47"/>
      <c r="G173" s="44" t="n">
        <v>46210</v>
      </c>
      <c r="H173" s="47"/>
      <c r="I173" s="4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44" t="n">
        <v>46190</v>
      </c>
      <c r="B174" s="47"/>
      <c r="C174" s="44" t="n">
        <v>46197</v>
      </c>
      <c r="D174" s="47"/>
      <c r="E174" s="44" t="n">
        <v>46204</v>
      </c>
      <c r="F174" s="47"/>
      <c r="G174" s="44" t="n">
        <v>46211</v>
      </c>
      <c r="H174" s="47"/>
      <c r="I174" s="4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44" t="n">
        <v>46191</v>
      </c>
      <c r="B175" s="47"/>
      <c r="C175" s="44" t="n">
        <v>46198</v>
      </c>
      <c r="D175" s="47"/>
      <c r="E175" s="44" t="n">
        <v>46205</v>
      </c>
      <c r="F175" s="47"/>
      <c r="G175" s="44" t="n">
        <v>46212</v>
      </c>
      <c r="H175" s="47"/>
      <c r="I175" s="4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44" t="n">
        <v>46192</v>
      </c>
      <c r="B176" s="47"/>
      <c r="C176" s="44" t="n">
        <v>46199</v>
      </c>
      <c r="D176" s="47"/>
      <c r="E176" s="44" t="n">
        <v>46206</v>
      </c>
      <c r="F176" s="47"/>
      <c r="G176" s="44" t="n">
        <v>46213</v>
      </c>
      <c r="H176" s="47"/>
      <c r="I176" s="4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44" t="n">
        <v>46193</v>
      </c>
      <c r="B177" s="47"/>
      <c r="C177" s="44" t="n">
        <v>46200</v>
      </c>
      <c r="D177" s="47"/>
      <c r="E177" s="44" t="n">
        <v>46207</v>
      </c>
      <c r="F177" s="47"/>
      <c r="G177" s="44" t="n">
        <v>46214</v>
      </c>
      <c r="H177" s="47"/>
      <c r="I177" s="4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48"/>
      <c r="B178" s="49" t="n">
        <f aca="false">SUM(B172:B177)</f>
        <v>0</v>
      </c>
      <c r="C178" s="48"/>
      <c r="D178" s="49" t="n">
        <f aca="false">SUM(D172:D177)</f>
        <v>0</v>
      </c>
      <c r="E178" s="48"/>
      <c r="F178" s="49" t="n">
        <f aca="false">SUM(F172:F177)</f>
        <v>0</v>
      </c>
      <c r="G178" s="48"/>
      <c r="H178" s="49" t="n">
        <f aca="false">SUM(H172:H177)</f>
        <v>0</v>
      </c>
      <c r="I178" s="50" t="n">
        <v>17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26"/>
      <c r="B179" s="51"/>
      <c r="C179" s="26"/>
      <c r="D179" s="51"/>
      <c r="E179" s="26"/>
      <c r="F179" s="51"/>
      <c r="G179" s="26"/>
      <c r="H179" s="51"/>
      <c r="I179" s="5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44"/>
      <c r="B181" s="45"/>
      <c r="C181" s="44"/>
      <c r="D181" s="45"/>
      <c r="E181" s="44"/>
      <c r="F181" s="45"/>
      <c r="G181" s="44"/>
      <c r="H181" s="45"/>
      <c r="I181" s="46" t="n">
        <f aca="false">B187+D187+F187+H187</f>
        <v>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44"/>
      <c r="B182" s="47"/>
      <c r="C182" s="44"/>
      <c r="D182" s="47"/>
      <c r="E182" s="44"/>
      <c r="F182" s="47"/>
      <c r="G182" s="44"/>
      <c r="H182" s="47"/>
      <c r="I182" s="4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44"/>
      <c r="B183" s="47"/>
      <c r="C183" s="44"/>
      <c r="D183" s="47"/>
      <c r="E183" s="44"/>
      <c r="F183" s="47"/>
      <c r="G183" s="44"/>
      <c r="H183" s="47"/>
      <c r="I183" s="4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44"/>
      <c r="B184" s="47"/>
      <c r="C184" s="44"/>
      <c r="D184" s="47"/>
      <c r="E184" s="44"/>
      <c r="F184" s="47"/>
      <c r="G184" s="44"/>
      <c r="H184" s="47"/>
      <c r="I184" s="4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44"/>
      <c r="B185" s="47"/>
      <c r="C185" s="44"/>
      <c r="D185" s="47"/>
      <c r="E185" s="44"/>
      <c r="F185" s="47"/>
      <c r="G185" s="44"/>
      <c r="H185" s="47"/>
      <c r="I185" s="4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44"/>
      <c r="B186" s="47"/>
      <c r="C186" s="44"/>
      <c r="D186" s="47"/>
      <c r="E186" s="44"/>
      <c r="F186" s="47"/>
      <c r="G186" s="44"/>
      <c r="H186" s="47"/>
      <c r="I186" s="4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48"/>
      <c r="B187" s="49" t="n">
        <f aca="false">SUM(B181:B186)</f>
        <v>0</v>
      </c>
      <c r="C187" s="48"/>
      <c r="D187" s="49" t="n">
        <f aca="false">SUM(D181:D186)</f>
        <v>0</v>
      </c>
      <c r="E187" s="48"/>
      <c r="F187" s="49" t="n">
        <f aca="false">SUM(F181:F186)</f>
        <v>0</v>
      </c>
      <c r="G187" s="48"/>
      <c r="H187" s="49" t="n">
        <f aca="false">SUM(H181:H186)</f>
        <v>0</v>
      </c>
      <c r="I187" s="50" t="n">
        <v>18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26"/>
      <c r="B188" s="51"/>
      <c r="C188" s="26"/>
      <c r="D188" s="51"/>
      <c r="E188" s="26"/>
      <c r="F188" s="51"/>
      <c r="G188" s="26"/>
      <c r="H188" s="51"/>
      <c r="I188" s="5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44"/>
      <c r="B190" s="45"/>
      <c r="C190" s="44"/>
      <c r="D190" s="45"/>
      <c r="E190" s="44"/>
      <c r="F190" s="45"/>
      <c r="G190" s="44"/>
      <c r="H190" s="45"/>
      <c r="I190" s="46" t="n">
        <f aca="false">B196+D196+F196+H196</f>
        <v>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44"/>
      <c r="B191" s="47"/>
      <c r="C191" s="44"/>
      <c r="D191" s="47"/>
      <c r="E191" s="44"/>
      <c r="F191" s="47"/>
      <c r="G191" s="44"/>
      <c r="H191" s="47"/>
      <c r="I191" s="4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44"/>
      <c r="B192" s="47"/>
      <c r="C192" s="44"/>
      <c r="D192" s="47"/>
      <c r="E192" s="44"/>
      <c r="F192" s="47"/>
      <c r="G192" s="44"/>
      <c r="H192" s="47"/>
      <c r="I192" s="4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44"/>
      <c r="B193" s="47"/>
      <c r="C193" s="44"/>
      <c r="D193" s="47"/>
      <c r="E193" s="44"/>
      <c r="F193" s="47"/>
      <c r="G193" s="44"/>
      <c r="H193" s="47"/>
      <c r="I193" s="4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44"/>
      <c r="B194" s="47"/>
      <c r="C194" s="44"/>
      <c r="D194" s="47"/>
      <c r="E194" s="44"/>
      <c r="F194" s="47"/>
      <c r="G194" s="44"/>
      <c r="H194" s="47"/>
      <c r="I194" s="4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44"/>
      <c r="B195" s="47"/>
      <c r="C195" s="44"/>
      <c r="D195" s="47"/>
      <c r="E195" s="44"/>
      <c r="F195" s="47"/>
      <c r="G195" s="44"/>
      <c r="H195" s="47"/>
      <c r="I195" s="4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48"/>
      <c r="B196" s="49" t="n">
        <f aca="false">SUM(B190:B195)</f>
        <v>0</v>
      </c>
      <c r="C196" s="48"/>
      <c r="D196" s="49" t="n">
        <f aca="false">SUM(D190:D195)</f>
        <v>0</v>
      </c>
      <c r="E196" s="48"/>
      <c r="F196" s="49" t="n">
        <f aca="false">SUM(F190:F195)</f>
        <v>0</v>
      </c>
      <c r="G196" s="48"/>
      <c r="H196" s="49" t="n">
        <f aca="false">SUM(H190:H195)</f>
        <v>0</v>
      </c>
      <c r="I196" s="50" t="n">
        <v>19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26"/>
      <c r="B197" s="51"/>
      <c r="C197" s="26"/>
      <c r="D197" s="51"/>
      <c r="E197" s="26"/>
      <c r="F197" s="51"/>
      <c r="G197" s="26"/>
      <c r="H197" s="51"/>
      <c r="I197" s="5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44"/>
      <c r="B199" s="45"/>
      <c r="C199" s="44"/>
      <c r="D199" s="45"/>
      <c r="E199" s="44"/>
      <c r="F199" s="45"/>
      <c r="G199" s="44"/>
      <c r="H199" s="45"/>
      <c r="I199" s="46" t="n">
        <f aca="false">B205+D205+F205+H205</f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44"/>
      <c r="B200" s="47"/>
      <c r="C200" s="44"/>
      <c r="D200" s="47"/>
      <c r="E200" s="44"/>
      <c r="F200" s="47"/>
      <c r="G200" s="44"/>
      <c r="H200" s="47"/>
      <c r="I200" s="4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44"/>
      <c r="B201" s="47"/>
      <c r="C201" s="44"/>
      <c r="D201" s="47"/>
      <c r="E201" s="44"/>
      <c r="F201" s="47"/>
      <c r="G201" s="44"/>
      <c r="H201" s="47"/>
      <c r="I201" s="4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44"/>
      <c r="B202" s="47"/>
      <c r="C202" s="44"/>
      <c r="D202" s="47"/>
      <c r="E202" s="44"/>
      <c r="F202" s="47"/>
      <c r="G202" s="44"/>
      <c r="H202" s="47"/>
      <c r="I202" s="4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44"/>
      <c r="B203" s="47"/>
      <c r="C203" s="44"/>
      <c r="D203" s="47"/>
      <c r="E203" s="44"/>
      <c r="F203" s="47"/>
      <c r="G203" s="44"/>
      <c r="H203" s="47"/>
      <c r="I203" s="4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44"/>
      <c r="B204" s="47"/>
      <c r="C204" s="44"/>
      <c r="D204" s="47"/>
      <c r="E204" s="44"/>
      <c r="F204" s="47"/>
      <c r="G204" s="44"/>
      <c r="H204" s="47"/>
      <c r="I204" s="4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48"/>
      <c r="B205" s="49" t="n">
        <f aca="false">SUM(B199:B204)</f>
        <v>0</v>
      </c>
      <c r="C205" s="48"/>
      <c r="D205" s="49" t="n">
        <f aca="false">SUM(D199:D204)</f>
        <v>0</v>
      </c>
      <c r="E205" s="48"/>
      <c r="F205" s="49" t="n">
        <f aca="false">SUM(F199:F204)</f>
        <v>0</v>
      </c>
      <c r="G205" s="48"/>
      <c r="H205" s="49" t="n">
        <f aca="false">SUM(H199:H204)</f>
        <v>0</v>
      </c>
      <c r="I205" s="50" t="n">
        <v>20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26"/>
      <c r="B206" s="51"/>
      <c r="C206" s="26"/>
      <c r="D206" s="51"/>
      <c r="E206" s="26"/>
      <c r="F206" s="51"/>
      <c r="G206" s="26"/>
      <c r="H206" s="51"/>
      <c r="I206" s="5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3"/>
      <c r="B236" s="3"/>
      <c r="C236" s="26" t="s">
        <v>40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.7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Format="false" ht="15.75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customFormat="false" ht="15.75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customFormat="false" ht="15.75" hidden="false" customHeight="fals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customFormat="false" ht="15.75" hidden="false" customHeight="fals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customFormat="false" ht="15.75" hidden="false" customHeight="false" outlineLevel="0" collapsed="false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customFormat="false" ht="15.75" hidden="false" customHeight="false" outlineLevel="0" collapsed="false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customFormat="false" ht="15.75" hidden="false" customHeight="false" outlineLevel="0" collapsed="false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customFormat="false" ht="15.75" hidden="false" customHeight="false" outlineLevel="0" collapsed="false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customFormat="false" ht="15.75" hidden="false" customHeight="false" outlineLevel="0" collapsed="false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customFormat="false" ht="15.75" hidden="false" customHeight="false" outlineLevel="0" collapsed="false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customFormat="false" ht="15.75" hidden="false" customHeight="false" outlineLevel="0" collapsed="false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customFormat="false" ht="15.75" hidden="false" customHeight="false" outlineLevel="0" collapsed="false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customFormat="false" ht="15.75" hidden="false" customHeight="false" outlineLevel="0" collapsed="false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customFormat="false" ht="15.75" hidden="false" customHeight="false" outlineLevel="0" collapsed="false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customFormat="false" ht="15.75" hidden="false" customHeight="false" outlineLevel="0" collapsed="false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customFormat="false" ht="15.75" hidden="false" customHeight="false" outlineLevel="0" collapsed="false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customFormat="false" ht="15.75" hidden="false" customHeight="false" outlineLevel="0" collapsed="false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customFormat="false" ht="15.75" hidden="false" customHeight="false" outlineLevel="0" collapsed="false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customFormat="false" ht="15.75" hidden="false" customHeight="false" outlineLevel="0" collapsed="false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customFormat="false" ht="15.75" hidden="false" customHeight="false" outlineLevel="0" collapsed="false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</sheetData>
  <mergeCells count="72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I16:I21"/>
    <mergeCell ref="A24:I24"/>
    <mergeCell ref="I26:I31"/>
    <mergeCell ref="A34:I34"/>
    <mergeCell ref="I36:I41"/>
    <mergeCell ref="A44:I44"/>
    <mergeCell ref="I46:I51"/>
    <mergeCell ref="A54:I54"/>
    <mergeCell ref="I56:I61"/>
    <mergeCell ref="A64:I64"/>
    <mergeCell ref="I66:I71"/>
    <mergeCell ref="A74:I74"/>
    <mergeCell ref="B76:B81"/>
    <mergeCell ref="I76:I81"/>
    <mergeCell ref="A84:I84"/>
    <mergeCell ref="B86:B91"/>
    <mergeCell ref="D86:D91"/>
    <mergeCell ref="F86:F91"/>
    <mergeCell ref="H86:H91"/>
    <mergeCell ref="I86:I91"/>
    <mergeCell ref="A94:I94"/>
    <mergeCell ref="B96:B101"/>
    <mergeCell ref="D96:D101"/>
    <mergeCell ref="F96:F101"/>
    <mergeCell ref="H96:H101"/>
    <mergeCell ref="I96:I101"/>
    <mergeCell ref="A104:I104"/>
    <mergeCell ref="B106:B111"/>
    <mergeCell ref="D106:D111"/>
    <mergeCell ref="F106:F111"/>
    <mergeCell ref="H106:H111"/>
    <mergeCell ref="I106:I111"/>
    <mergeCell ref="A114:I114"/>
    <mergeCell ref="B116:B121"/>
    <mergeCell ref="D116:D121"/>
    <mergeCell ref="F116:F121"/>
    <mergeCell ref="H116:H121"/>
    <mergeCell ref="I116:I121"/>
    <mergeCell ref="A124:I124"/>
    <mergeCell ref="B126:B131"/>
    <mergeCell ref="D126:D131"/>
    <mergeCell ref="F126:F131"/>
    <mergeCell ref="H126:H131"/>
    <mergeCell ref="I126:I131"/>
    <mergeCell ref="A134:I134"/>
    <mergeCell ref="I136:I141"/>
    <mergeCell ref="A144:I144"/>
    <mergeCell ref="I145:I150"/>
    <mergeCell ref="A153:I153"/>
    <mergeCell ref="I154:I159"/>
    <mergeCell ref="A162:I162"/>
    <mergeCell ref="I163:I168"/>
    <mergeCell ref="A171:I171"/>
    <mergeCell ref="I172:I177"/>
    <mergeCell ref="A180:I180"/>
    <mergeCell ref="I181:I186"/>
    <mergeCell ref="A189:I189"/>
    <mergeCell ref="I190:I195"/>
    <mergeCell ref="A198:I198"/>
    <mergeCell ref="I199:I204"/>
    <mergeCell ref="A207:I20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2026-06-01T23:52:35Z</dcterms:modified>
  <cp:revision>1</cp:revision>
  <dc:subject/>
  <dc:title/>
</cp:coreProperties>
</file>