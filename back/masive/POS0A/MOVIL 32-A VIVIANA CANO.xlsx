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<sst xmlns="http://schemas.openxmlformats.org/spreadsheetml/2006/main" count="66" uniqueCount="40">
  <si>
    <t xml:space="preserve">CODIGO</t>
  </si>
  <si>
    <t xml:space="preserve">MOTO</t>
  </si>
  <si>
    <t xml:space="preserve">MODELO</t>
  </si>
  <si>
    <t xml:space="preserve">MARCA</t>
  </si>
  <si>
    <t xml:space="preserve">PLACA</t>
  </si>
  <si>
    <t xml:space="preserve">MOVIL</t>
  </si>
  <si>
    <t xml:space="preserve">PRECIO </t>
  </si>
  <si>
    <t xml:space="preserve">INICIAL</t>
  </si>
  <si>
    <t xml:space="preserve">A245875</t>
  </si>
  <si>
    <t xml:space="preserve">SPECIAL 110</t>
  </si>
  <si>
    <t xml:space="preserve">AKT</t>
  </si>
  <si>
    <t xml:space="preserve">DQR65I</t>
  </si>
  <si>
    <t xml:space="preserve">MOVIL 32-A</t>
  </si>
  <si>
    <t xml:space="preserve">COSTO -INICIAL</t>
  </si>
  <si>
    <t xml:space="preserve">INTERES</t>
  </si>
  <si>
    <t xml:space="preserve">COSTO NETO</t>
  </si>
  <si>
    <t xml:space="preserve">MESES</t>
  </si>
  <si>
    <t xml:space="preserve">MESUAL</t>
  </si>
  <si>
    <t xml:space="preserve">QUINCENAL </t>
  </si>
  <si>
    <t xml:space="preserve">SEMANAL</t>
  </si>
  <si>
    <t xml:space="preserve">DIARIO </t>
  </si>
  <si>
    <t xml:space="preserve">NOMBRES</t>
  </si>
  <si>
    <t xml:space="preserve">APELLIDOS</t>
  </si>
  <si>
    <t xml:space="preserve">CEDULA</t>
  </si>
  <si>
    <t xml:space="preserve">NACIONALIDAD </t>
  </si>
  <si>
    <t xml:space="preserve">NUMERO</t>
  </si>
  <si>
    <t xml:space="preserve">FIRMA</t>
  </si>
  <si>
    <t xml:space="preserve">GPS</t>
  </si>
  <si>
    <t xml:space="preserve">DEUDA DE SEMANA </t>
  </si>
  <si>
    <t xml:space="preserve">VIVIANA</t>
  </si>
  <si>
    <t xml:space="preserve">CANO ESCOBAR</t>
  </si>
  <si>
    <t xml:space="preserve">VENEZOLANA</t>
  </si>
  <si>
    <t xml:space="preserve">SALDO ACTUAL PAGADO</t>
  </si>
  <si>
    <t xml:space="preserve">DEUDA  A PAGAR</t>
  </si>
  <si>
    <t xml:space="preserve">DEUDA TOTAL.</t>
  </si>
  <si>
    <t xml:space="preserve">DEUDA ADQUIRIDA </t>
  </si>
  <si>
    <t xml:space="preserve">RENTAL MOTORS S.A.S</t>
  </si>
  <si>
    <t xml:space="preserve">FECHA</t>
  </si>
  <si>
    <t xml:space="preserve">ABONO</t>
  </si>
  <si>
    <t xml:space="preserve">REF.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</si>
</sst>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[$ $]#,##0"/>
    <numFmt numFmtId="166" formatCode="0"/>
    <numFmt numFmtId="167" formatCode="@"/>
    <numFmt numFmtId="168" formatCode="[$$]#,##0.00"/>
    <numFmt numFmtId="169" formatCode="#,##0.00"/>
    <numFmt numFmtId="170" formatCode="#,##0"/>
    <numFmt numFmtId="171" formatCode="General"/>
    <numFmt numFmtId="172" formatCode="dd/mm/yyyy"/>
    <numFmt numFmtId="173" formatCode="\$#,##0.00"/>
  </numFmts>
  <fonts count="23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3"/>
      <color rgb="FF000000"/>
      <name val="Nunito"/>
      <family val="0"/>
      <charset val="1"/>
    </font>
    <font>
      <b val="true"/>
      <sz val="14"/>
      <color rgb="FF000000"/>
      <name val="Arial"/>
      <family val="0"/>
      <charset val="1"/>
    </font>
    <font>
      <b val="true"/>
      <sz val="13"/>
      <color rgb="FF000000"/>
      <name val="Arial"/>
      <family val="0"/>
      <charset val="1"/>
    </font>
    <font>
      <b val="true"/>
      <sz val="12"/>
      <color rgb="FFFFFFFF"/>
      <name val="Nunito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2"/>
      <color rgb="FF000000"/>
      <name val="Arial"/>
      <family val="0"/>
      <charset val="1"/>
    </font>
    <font>
      <b val="true"/>
      <sz val="11"/>
      <color rgb="FF0077D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25"/>
      <color rgb="FF000000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18"/>
      <color rgb="FF000000"/>
      <name val="Arial"/>
      <family val="0"/>
      <charset val="1"/>
    </font>
    <font>
      <sz val="20"/>
      <color rgb="FFFFFFFF"/>
      <name val="Arial"/>
      <family val="0"/>
      <charset val="1"/>
    </font>
    <font>
      <b val="true"/>
      <sz val="25"/>
      <color rgb="FF000000"/>
      <name val="Arial"/>
      <family val="0"/>
      <charset val="1"/>
    </font>
    <font>
      <b val="true"/>
      <sz val="29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color rgb="FF46BDC6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0A99D6"/>
        <bgColor rgb="FF0077D9"/>
      </patternFill>
    </fill>
    <fill>
      <patternFill patternType="solid">
        <fgColor rgb="FF999999"/>
        <bgColor rgb="FF808080"/>
      </patternFill>
    </fill>
    <fill>
      <patternFill patternType="solid">
        <fgColor rgb="FF000000"/>
        <bgColor rgb="FF003300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FF"/>
      </patternFill>
    </fill>
    <fill>
      <patternFill patternType="solid">
        <fgColor rgb="FF3D85C6"/>
        <bgColor rgb="FF4285F4"/>
      </patternFill>
    </fill>
    <fill>
      <patternFill patternType="solid">
        <fgColor rgb="FFFF9900"/>
        <bgColor rgb="FFFF6D01"/>
      </patternFill>
    </fill>
    <fill>
      <patternFill patternType="solid">
        <fgColor rgb="FFF2F2F2"/>
        <bgColor rgb="FFFFFFFF"/>
      </patternFill>
    </fill>
    <fill>
      <patternFill patternType="solid">
        <fgColor rgb="FF1155CC"/>
        <bgColor rgb="FF0077D9"/>
      </patternFill>
    </fill>
    <fill>
      <patternFill patternType="solid">
        <fgColor rgb="FFFF0000"/>
        <bgColor rgb="FF993300"/>
      </patternFill>
    </fill>
    <fill>
      <patternFill patternType="solid">
        <fgColor rgb="FF46BDC6"/>
        <bgColor rgb="FF3D85C6"/>
      </patternFill>
    </fill>
    <fill>
      <patternFill patternType="solid">
        <fgColor rgb="FF4285F4"/>
        <bgColor rgb="FF3D85C6"/>
      </patternFill>
    </fill>
    <fill>
      <patternFill patternType="solid">
        <fgColor rgb="FF134F5C"/>
        <bgColor rgb="FF333333"/>
      </patternFill>
    </fill>
    <fill>
      <patternFill patternType="solid">
        <fgColor rgb="FF93C47D"/>
        <bgColor rgb="FF999999"/>
      </patternFill>
    </fill>
    <fill>
      <patternFill patternType="solid">
        <fgColor rgb="FF00FFFF"/>
        <bgColor rgb="FF00FFFF"/>
      </patternFill>
    </fill>
    <fill>
      <patternFill patternType="solid">
        <fgColor rgb="FF666666"/>
        <bgColor rgb="FF808080"/>
      </patternFill>
    </fill>
    <fill>
      <patternFill patternType="solid">
        <fgColor rgb="FFFFFF00"/>
        <bgColor rgb="FFFFFF00"/>
      </patternFill>
    </fill>
    <fill>
      <patternFill patternType="solid">
        <fgColor rgb="FFFF6D01"/>
        <bgColor rgb="FFFF9900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4285F4"/>
      </left>
      <right/>
      <top/>
      <bottom/>
      <diagonal/>
    </border>
    <border diagonalUp="false" diagonalDown="false">
      <left/>
      <right style="thin">
        <color rgb="FF4285F4"/>
      </right>
      <top style="thin">
        <color rgb="FF4285F4"/>
      </top>
      <bottom/>
      <diagonal/>
    </border>
    <border diagonalUp="false" diagonalDown="false">
      <left/>
      <right style="thin">
        <color rgb="FF4285F4"/>
      </right>
      <top/>
      <bottom style="thin">
        <color rgb="FF4285F4"/>
      </bottom>
      <diagonal/>
    </border>
    <border diagonalUp="false" diagonalDown="false">
      <left style="thin">
        <color rgb="FF4285F4"/>
      </left>
      <right/>
      <top/>
      <bottom style="thin">
        <color rgb="FF4285F4"/>
      </bottom>
      <diagonal/>
    </border>
    <border diagonalUp="false" diagonalDown="false">
      <left/>
      <right/>
      <top/>
      <bottom style="thin">
        <color rgb="FF4285F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9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1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1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7" fillId="1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8" fillId="11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11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9" fillId="1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1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5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5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0" fillId="1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1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5" fillId="1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5" fillId="1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99D6"/>
      <rgbColor rgb="FF93C47D"/>
      <rgbColor rgb="FF808080"/>
      <rgbColor rgb="FF9999FF"/>
      <rgbColor rgb="FF993366"/>
      <rgbColor rgb="FFF2F2F2"/>
      <rgbColor rgb="FFCCFFFF"/>
      <rgbColor rgb="FF660066"/>
      <rgbColor rgb="FFFF8080"/>
      <rgbColor rgb="FF0077D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285F4"/>
      <rgbColor rgb="FF46BDC6"/>
      <rgbColor rgb="FF99CC00"/>
      <rgbColor rgb="FFFFCC00"/>
      <rgbColor rgb="FFFF9900"/>
      <rgbColor rgb="FFFF6D01"/>
      <rgbColor rgb="FF666666"/>
      <rgbColor rgb="FF999999"/>
      <rgbColor rgb="FF134F5C"/>
      <rgbColor rgb="FF3D85C6"/>
      <rgbColor rgb="FF003300"/>
      <rgbColor rgb="FF333300"/>
      <rgbColor rgb="FF993300"/>
      <rgbColor rgb="FF993366"/>
      <rgbColor rgb="FF1155C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106560</xdr:colOff>
      <xdr:row>0</xdr:row>
      <xdr:rowOff>0</xdr:rowOff>
    </xdr:from>
    <xdr:to>
      <xdr:col>9</xdr:col>
      <xdr:colOff>252360</xdr:colOff>
      <xdr:row>13</xdr:row>
      <xdr:rowOff>18720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11386080" y="0"/>
          <a:ext cx="1714320" cy="261900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0" activeCellId="0" sqref="A10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0.63"/>
    <col collapsed="false" customWidth="true" hidden="false" outlineLevel="0" max="3" min="3" style="0" width="18.38"/>
    <col collapsed="false" customWidth="true" hidden="false" outlineLevel="0" max="4" min="4" style="0" width="18.75"/>
    <col collapsed="false" customWidth="true" hidden="false" outlineLevel="0" max="5" min="5" style="0" width="20.38"/>
    <col collapsed="false" customWidth="true" hidden="false" outlineLevel="0" max="6" min="6" style="0" width="21.88"/>
    <col collapsed="false" customWidth="true" hidden="false" outlineLevel="0" max="7" min="7" style="0" width="19.63"/>
    <col collapsed="false" customWidth="true" hidden="false" outlineLevel="0" max="8" min="8" style="0" width="20.38"/>
    <col collapsed="false" customWidth="true" hidden="false" outlineLevel="0" max="9" min="9" style="0" width="22.25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.75" hidden="false" customHeight="false" outlineLevel="0" collapsed="false">
      <c r="A2" s="4" t="s">
        <v>8</v>
      </c>
      <c r="B2" s="4" t="s">
        <v>9</v>
      </c>
      <c r="C2" s="5" t="n">
        <v>2027</v>
      </c>
      <c r="D2" s="4" t="s">
        <v>10</v>
      </c>
      <c r="E2" s="6" t="s">
        <v>11</v>
      </c>
      <c r="F2" s="7" t="s">
        <v>12</v>
      </c>
      <c r="G2" s="8" t="n">
        <v>5790000</v>
      </c>
      <c r="H2" s="9" t="n">
        <v>1000000</v>
      </c>
      <c r="I2" s="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.75" hidden="false" customHeight="false" outlineLevel="0" collapsed="false">
      <c r="A3" s="10"/>
      <c r="B3" s="10"/>
      <c r="C3" s="10"/>
      <c r="D3" s="10"/>
      <c r="E3" s="10"/>
      <c r="F3" s="10"/>
      <c r="G3" s="10"/>
      <c r="H3" s="10"/>
      <c r="I3" s="2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.75" hidden="false" customHeight="false" outlineLevel="0" collapsed="false">
      <c r="A4" s="11" t="s">
        <v>13</v>
      </c>
      <c r="B4" s="12" t="s">
        <v>14</v>
      </c>
      <c r="C4" s="12" t="s">
        <v>15</v>
      </c>
      <c r="D4" s="12" t="s">
        <v>16</v>
      </c>
      <c r="E4" s="12" t="s">
        <v>17</v>
      </c>
      <c r="F4" s="12" t="s">
        <v>18</v>
      </c>
      <c r="G4" s="12" t="s">
        <v>19</v>
      </c>
      <c r="H4" s="12" t="s">
        <v>20</v>
      </c>
      <c r="I4" s="2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.75" hidden="false" customHeight="false" outlineLevel="0" collapsed="false">
      <c r="A5" s="13" t="n">
        <f aca="false">G2-H2</f>
        <v>4790000</v>
      </c>
      <c r="B5" s="13" t="n">
        <v>3.3032</v>
      </c>
      <c r="C5" s="14" t="n">
        <f aca="false">A5*B5</f>
        <v>15822328</v>
      </c>
      <c r="D5" s="15" t="n">
        <v>26</v>
      </c>
      <c r="E5" s="16" t="n">
        <f aca="false">C5/D5</f>
        <v>608551.0769</v>
      </c>
      <c r="F5" s="17" t="n">
        <f aca="false">E5/2</f>
        <v>304275.53845</v>
      </c>
      <c r="G5" s="17" t="n">
        <f aca="false">F5/2</f>
        <v>152137.769225</v>
      </c>
      <c r="H5" s="17" t="n">
        <f aca="false">G5/6</f>
        <v>25356.29487</v>
      </c>
      <c r="I5" s="2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.75" hidden="false" customHeight="false" outlineLevel="0" collapsed="false">
      <c r="A6" s="18" t="s">
        <v>21</v>
      </c>
      <c r="B6" s="18" t="s">
        <v>22</v>
      </c>
      <c r="C6" s="18" t="s">
        <v>23</v>
      </c>
      <c r="D6" s="18" t="s">
        <v>24</v>
      </c>
      <c r="E6" s="18" t="s">
        <v>25</v>
      </c>
      <c r="F6" s="19" t="s">
        <v>26</v>
      </c>
      <c r="G6" s="20" t="s">
        <v>27</v>
      </c>
      <c r="H6" s="20" t="s">
        <v>28</v>
      </c>
      <c r="I6" s="2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.75" hidden="false" customHeight="false" outlineLevel="0" collapsed="false">
      <c r="A7" s="21" t="s">
        <v>29</v>
      </c>
      <c r="B7" s="21" t="s">
        <v>30</v>
      </c>
      <c r="C7" s="22" t="n">
        <v>1007072159</v>
      </c>
      <c r="D7" s="21" t="s">
        <v>31</v>
      </c>
      <c r="E7" s="21" t="n">
        <v>3246445312</v>
      </c>
      <c r="F7" s="23"/>
      <c r="G7" s="24"/>
      <c r="H7" s="25"/>
      <c r="I7" s="2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.75" hidden="false" customHeight="false" outlineLevel="0" collapsed="false">
      <c r="A8" s="26"/>
      <c r="B8" s="26"/>
      <c r="C8" s="26"/>
      <c r="D8" s="26"/>
      <c r="E8" s="27"/>
      <c r="F8" s="27"/>
      <c r="G8" s="24"/>
      <c r="H8" s="28" t="s">
        <v>16</v>
      </c>
      <c r="I8" s="2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.75" hidden="false" customHeight="false" outlineLevel="0" collapsed="false">
      <c r="A9" s="29" t="s">
        <v>32</v>
      </c>
      <c r="B9" s="29"/>
      <c r="C9" s="30" t="s">
        <v>33</v>
      </c>
      <c r="D9" s="30"/>
      <c r="E9" s="30" t="s">
        <v>34</v>
      </c>
      <c r="F9" s="30"/>
      <c r="G9" s="31" t="s">
        <v>35</v>
      </c>
      <c r="H9" s="28"/>
      <c r="I9" s="2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.75" hidden="false" customHeight="false" outlineLevel="0" collapsed="false">
      <c r="A10" s="32" t="n">
        <f aca="false">D16+E26</f>
        <v>1318500</v>
      </c>
      <c r="B10" s="32"/>
      <c r="C10" s="33" t="n">
        <f aca="false">C5-A10</f>
        <v>14503828</v>
      </c>
      <c r="D10" s="33"/>
      <c r="E10" s="33" t="n">
        <f aca="false">C10+G10</f>
        <v>14503828</v>
      </c>
      <c r="F10" s="33"/>
      <c r="G10" s="34"/>
      <c r="H10" s="35" t="n">
        <f aca="false">I23+I33+I42</f>
        <v>2</v>
      </c>
      <c r="I10" s="2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.75" hidden="false" customHeight="false" outlineLevel="0" collapsed="false">
      <c r="A11" s="32"/>
      <c r="B11" s="32"/>
      <c r="C11" s="33"/>
      <c r="D11" s="33"/>
      <c r="E11" s="33"/>
      <c r="F11" s="33"/>
      <c r="G11" s="34"/>
      <c r="H11" s="35"/>
      <c r="I11" s="2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.75" hidden="false" customHeight="false" outlineLevel="0" collapsed="false">
      <c r="A12" s="36" t="s">
        <v>36</v>
      </c>
      <c r="B12" s="36"/>
      <c r="C12" s="36"/>
      <c r="D12" s="36"/>
      <c r="E12" s="37"/>
      <c r="F12" s="38"/>
      <c r="G12" s="38"/>
      <c r="H12" s="39"/>
      <c r="I12" s="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.75" hidden="false" customHeight="false" outlineLevel="0" collapsed="false">
      <c r="A13" s="40"/>
      <c r="B13" s="40"/>
      <c r="C13" s="40"/>
      <c r="D13" s="40"/>
      <c r="E13" s="40"/>
      <c r="F13" s="40"/>
      <c r="G13" s="40"/>
      <c r="H13" s="40"/>
      <c r="I13" s="40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.75" hidden="false" customHeight="false" outlineLevel="0" collapsed="false">
      <c r="A14" s="40"/>
      <c r="B14" s="40"/>
      <c r="C14" s="40"/>
      <c r="D14" s="40"/>
      <c r="E14" s="40"/>
      <c r="F14" s="40"/>
      <c r="G14" s="40"/>
      <c r="H14" s="40"/>
      <c r="I14" s="40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3.8" hidden="false" customHeight="false" outlineLevel="0" collapsed="false">
      <c r="A15" s="41" t="s">
        <v>37</v>
      </c>
      <c r="B15" s="41" t="s">
        <v>37</v>
      </c>
      <c r="C15" s="41" t="s">
        <v>38</v>
      </c>
      <c r="D15" s="41" t="s">
        <v>38</v>
      </c>
      <c r="E15" s="41" t="s">
        <v>37</v>
      </c>
      <c r="F15" s="41" t="s">
        <v>38</v>
      </c>
      <c r="G15" s="41" t="s">
        <v>37</v>
      </c>
      <c r="H15" s="41" t="s">
        <v>38</v>
      </c>
      <c r="I15" s="42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3.8" hidden="false" customHeight="false" outlineLevel="0" collapsed="false">
      <c r="A16" s="43"/>
      <c r="B16" s="44" t="n">
        <v>46132</v>
      </c>
      <c r="C16" s="44" t="n">
        <v>46139</v>
      </c>
      <c r="D16" s="45" t="n">
        <v>708500</v>
      </c>
      <c r="H16" s="46"/>
      <c r="I16" s="47" t="n">
        <v>1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3.8" hidden="false" customHeight="false" outlineLevel="0" collapsed="false">
      <c r="A17" s="43"/>
      <c r="B17" s="44" t="n">
        <v>46133</v>
      </c>
      <c r="C17" s="44" t="n">
        <v>46140</v>
      </c>
      <c r="D17" s="45"/>
      <c r="H17" s="46"/>
      <c r="I17" s="46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3.8" hidden="false" customHeight="false" outlineLevel="0" collapsed="false">
      <c r="A18" s="43"/>
      <c r="B18" s="44" t="n">
        <v>46134</v>
      </c>
      <c r="C18" s="44" t="n">
        <v>46141</v>
      </c>
      <c r="D18" s="45"/>
      <c r="H18" s="46"/>
      <c r="I18" s="46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3.8" hidden="false" customHeight="false" outlineLevel="0" collapsed="false">
      <c r="A19" s="44" t="n">
        <v>46128</v>
      </c>
      <c r="B19" s="44" t="n">
        <v>46135</v>
      </c>
      <c r="C19" s="48" t="n">
        <v>46142</v>
      </c>
      <c r="D19" s="45"/>
      <c r="H19" s="46"/>
      <c r="I19" s="46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3.8" hidden="false" customHeight="false" outlineLevel="0" collapsed="false">
      <c r="A20" s="44" t="n">
        <v>46129</v>
      </c>
      <c r="B20" s="44" t="n">
        <v>46136</v>
      </c>
      <c r="C20" s="44" t="n">
        <v>46143</v>
      </c>
      <c r="D20" s="45"/>
      <c r="H20" s="46"/>
      <c r="I20" s="46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3.8" hidden="false" customHeight="false" outlineLevel="0" collapsed="false">
      <c r="A21" s="44" t="n">
        <v>46130</v>
      </c>
      <c r="B21" s="44" t="n">
        <v>46137</v>
      </c>
      <c r="C21" s="44" t="n">
        <v>46144</v>
      </c>
      <c r="D21" s="45"/>
      <c r="H21" s="46"/>
      <c r="I21" s="46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.75" hidden="false" customHeight="false" outlineLevel="0" collapsed="false">
      <c r="A22" s="10"/>
      <c r="B22" s="49"/>
      <c r="C22" s="50"/>
      <c r="D22" s="51" t="n">
        <f aca="false">SUM(D16:G21)</f>
        <v>708500</v>
      </c>
      <c r="E22" s="51"/>
      <c r="F22" s="51"/>
      <c r="G22" s="51"/>
      <c r="H22" s="52"/>
      <c r="I22" s="5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.75" hidden="false" customHeight="false" outlineLevel="0" collapsed="false">
      <c r="A23" s="54" t="s">
        <v>39</v>
      </c>
      <c r="B23" s="55"/>
      <c r="C23" s="54" t="s">
        <v>39</v>
      </c>
      <c r="D23" s="55"/>
      <c r="E23" s="54" t="s">
        <v>39</v>
      </c>
      <c r="F23" s="55"/>
      <c r="G23" s="54" t="s">
        <v>39</v>
      </c>
      <c r="H23" s="55"/>
      <c r="I23" s="56" t="n">
        <v>1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.75" hidden="false" customHeight="false" outlineLevel="0" collapsed="false">
      <c r="A24" s="40"/>
      <c r="B24" s="40"/>
      <c r="C24" s="40"/>
      <c r="D24" s="40"/>
      <c r="E24" s="40"/>
      <c r="F24" s="40"/>
      <c r="G24" s="40"/>
      <c r="H24" s="40"/>
      <c r="I24" s="40"/>
      <c r="J24" s="3"/>
      <c r="K24" s="57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3.8" hidden="false" customHeight="false" outlineLevel="0" collapsed="false">
      <c r="A25" s="41" t="s">
        <v>37</v>
      </c>
      <c r="B25" s="41" t="s">
        <v>37</v>
      </c>
      <c r="C25" s="41" t="s">
        <v>38</v>
      </c>
      <c r="D25" s="41" t="s">
        <v>37</v>
      </c>
      <c r="E25" s="41" t="s">
        <v>38</v>
      </c>
      <c r="F25" s="41" t="s">
        <v>38</v>
      </c>
      <c r="G25" s="41" t="s">
        <v>37</v>
      </c>
      <c r="H25" s="41" t="s">
        <v>38</v>
      </c>
      <c r="I25" s="42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3.8" hidden="false" customHeight="false" outlineLevel="0" collapsed="false">
      <c r="A26" s="44" t="n">
        <v>46146</v>
      </c>
      <c r="B26" s="44" t="n">
        <v>46153</v>
      </c>
      <c r="C26" s="44" t="n">
        <v>46160</v>
      </c>
      <c r="D26" s="44" t="n">
        <v>46167</v>
      </c>
      <c r="E26" s="45" t="n">
        <v>610000</v>
      </c>
      <c r="H26" s="58"/>
      <c r="I26" s="47" t="n">
        <v>2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3.8" hidden="false" customHeight="false" outlineLevel="0" collapsed="false">
      <c r="A27" s="44" t="n">
        <v>46147</v>
      </c>
      <c r="B27" s="44" t="n">
        <v>46154</v>
      </c>
      <c r="C27" s="44" t="n">
        <v>46161</v>
      </c>
      <c r="D27" s="44" t="n">
        <v>46168</v>
      </c>
      <c r="E27" s="45"/>
      <c r="H27" s="58"/>
      <c r="I27" s="58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3.8" hidden="false" customHeight="false" outlineLevel="0" collapsed="false">
      <c r="A28" s="44" t="n">
        <v>46148</v>
      </c>
      <c r="B28" s="44" t="n">
        <v>46155</v>
      </c>
      <c r="C28" s="44" t="n">
        <v>46162</v>
      </c>
      <c r="D28" s="44" t="n">
        <v>46169</v>
      </c>
      <c r="E28" s="45"/>
      <c r="H28" s="58"/>
      <c r="I28" s="58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3.8" hidden="false" customHeight="false" outlineLevel="0" collapsed="false">
      <c r="A29" s="44" t="n">
        <v>46149</v>
      </c>
      <c r="B29" s="44" t="n">
        <v>46156</v>
      </c>
      <c r="C29" s="44" t="n">
        <v>46163</v>
      </c>
      <c r="D29" s="44" t="n">
        <v>46170</v>
      </c>
      <c r="E29" s="45"/>
      <c r="H29" s="58"/>
      <c r="I29" s="58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3.8" hidden="false" customHeight="false" outlineLevel="0" collapsed="false">
      <c r="A30" s="44" t="n">
        <v>46150</v>
      </c>
      <c r="B30" s="44" t="n">
        <v>46157</v>
      </c>
      <c r="C30" s="44" t="n">
        <v>46164</v>
      </c>
      <c r="D30" s="44" t="n">
        <v>46171</v>
      </c>
      <c r="E30" s="45"/>
      <c r="H30" s="58"/>
      <c r="I30" s="58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3.8" hidden="false" customHeight="false" outlineLevel="0" collapsed="false">
      <c r="A31" s="44" t="n">
        <v>46151</v>
      </c>
      <c r="B31" s="44" t="n">
        <v>46158</v>
      </c>
      <c r="C31" s="44" t="n">
        <v>46165</v>
      </c>
      <c r="D31" s="48" t="n">
        <v>46172</v>
      </c>
      <c r="E31" s="45"/>
      <c r="H31" s="58"/>
      <c r="I31" s="58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.75" hidden="false" customHeight="false" outlineLevel="0" collapsed="false">
      <c r="A32" s="10"/>
      <c r="B32" s="49"/>
      <c r="C32" s="50"/>
      <c r="D32" s="49"/>
      <c r="E32" s="51" t="n">
        <f aca="false">SUM(E26:G31)</f>
        <v>610000</v>
      </c>
      <c r="F32" s="51"/>
      <c r="G32" s="51"/>
      <c r="H32" s="52"/>
      <c r="I32" s="59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.75" hidden="false" customHeight="false" outlineLevel="0" collapsed="false">
      <c r="A33" s="54" t="s">
        <v>39</v>
      </c>
      <c r="B33" s="55"/>
      <c r="C33" s="54" t="s">
        <v>39</v>
      </c>
      <c r="D33" s="55"/>
      <c r="E33" s="54" t="s">
        <v>39</v>
      </c>
      <c r="F33" s="55"/>
      <c r="G33" s="54" t="s">
        <v>39</v>
      </c>
      <c r="H33" s="55"/>
      <c r="I33" s="56" t="n">
        <v>1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.75" hidden="false" customHeight="false" outlineLevel="0" collapsed="false">
      <c r="A34" s="40"/>
      <c r="B34" s="40"/>
      <c r="C34" s="40"/>
      <c r="D34" s="40"/>
      <c r="E34" s="40"/>
      <c r="F34" s="40"/>
      <c r="G34" s="40"/>
      <c r="H34" s="40"/>
      <c r="I34" s="40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.75" hidden="false" customHeight="false" outlineLevel="0" collapsed="false">
      <c r="A35" s="44" t="n">
        <v>46174</v>
      </c>
      <c r="B35" s="44" t="n">
        <v>46181</v>
      </c>
      <c r="C35" s="44" t="n">
        <v>46188</v>
      </c>
      <c r="D35" s="44" t="n">
        <v>46195</v>
      </c>
      <c r="E35" s="45"/>
      <c r="F35" s="45"/>
      <c r="G35" s="45"/>
      <c r="H35" s="58"/>
      <c r="I35" s="47" t="n">
        <v>3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.75" hidden="false" customHeight="false" outlineLevel="0" collapsed="false">
      <c r="A36" s="44" t="n">
        <v>46175</v>
      </c>
      <c r="B36" s="44" t="n">
        <v>46182</v>
      </c>
      <c r="C36" s="44" t="n">
        <v>46189</v>
      </c>
      <c r="D36" s="44" t="n">
        <v>46196</v>
      </c>
      <c r="E36" s="45"/>
      <c r="F36" s="45"/>
      <c r="G36" s="45"/>
      <c r="H36" s="58"/>
      <c r="I36" s="58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.75" hidden="false" customHeight="false" outlineLevel="0" collapsed="false">
      <c r="A37" s="44" t="n">
        <v>46176</v>
      </c>
      <c r="B37" s="44" t="n">
        <v>46183</v>
      </c>
      <c r="C37" s="44" t="n">
        <v>46190</v>
      </c>
      <c r="D37" s="44" t="n">
        <v>46197</v>
      </c>
      <c r="E37" s="45"/>
      <c r="F37" s="45"/>
      <c r="G37" s="45"/>
      <c r="H37" s="58"/>
      <c r="I37" s="58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.75" hidden="false" customHeight="false" outlineLevel="0" collapsed="false">
      <c r="A38" s="44" t="n">
        <v>46177</v>
      </c>
      <c r="B38" s="44" t="n">
        <v>46184</v>
      </c>
      <c r="C38" s="44" t="n">
        <v>46191</v>
      </c>
      <c r="D38" s="44" t="n">
        <v>46198</v>
      </c>
      <c r="E38" s="45"/>
      <c r="F38" s="45"/>
      <c r="G38" s="45"/>
      <c r="H38" s="58"/>
      <c r="I38" s="58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.75" hidden="false" customHeight="false" outlineLevel="0" collapsed="false">
      <c r="A39" s="44" t="n">
        <v>46178</v>
      </c>
      <c r="B39" s="44" t="n">
        <v>46185</v>
      </c>
      <c r="C39" s="44" t="n">
        <v>46192</v>
      </c>
      <c r="D39" s="44" t="n">
        <v>46199</v>
      </c>
      <c r="E39" s="45"/>
      <c r="F39" s="45"/>
      <c r="G39" s="45"/>
      <c r="H39" s="58"/>
      <c r="I39" s="58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.75" hidden="false" customHeight="false" outlineLevel="0" collapsed="false">
      <c r="A40" s="44" t="n">
        <v>46179</v>
      </c>
      <c r="B40" s="44" t="n">
        <v>46186</v>
      </c>
      <c r="C40" s="44" t="n">
        <v>46193</v>
      </c>
      <c r="D40" s="44" t="n">
        <v>46200</v>
      </c>
      <c r="E40" s="45"/>
      <c r="F40" s="45"/>
      <c r="G40" s="45"/>
      <c r="H40" s="58"/>
      <c r="I40" s="58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.75" hidden="false" customHeight="false" outlineLevel="0" collapsed="false">
      <c r="A41" s="10"/>
      <c r="B41" s="49"/>
      <c r="C41" s="50"/>
      <c r="D41" s="49"/>
      <c r="E41" s="51" t="n">
        <f aca="false">SUM(E35:G40)</f>
        <v>0</v>
      </c>
      <c r="F41" s="51"/>
      <c r="G41" s="51"/>
      <c r="H41" s="52"/>
      <c r="I41" s="59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.75" hidden="false" customHeight="false" outlineLevel="0" collapsed="false">
      <c r="A42" s="54" t="s">
        <v>39</v>
      </c>
      <c r="B42" s="55"/>
      <c r="C42" s="54" t="s">
        <v>39</v>
      </c>
      <c r="D42" s="55"/>
      <c r="E42" s="54" t="s">
        <v>39</v>
      </c>
      <c r="F42" s="55"/>
      <c r="G42" s="54" t="s">
        <v>39</v>
      </c>
      <c r="H42" s="55"/>
      <c r="I42" s="56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.75" hidden="false" customHeight="false" outlineLevel="0" collapsed="false">
      <c r="A43" s="40"/>
      <c r="B43" s="40"/>
      <c r="C43" s="40"/>
      <c r="D43" s="40"/>
      <c r="E43" s="40"/>
      <c r="F43" s="40"/>
      <c r="G43" s="40"/>
      <c r="H43" s="40"/>
      <c r="I43" s="40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</sheetData>
  <mergeCells count="27">
    <mergeCell ref="I1:I12"/>
    <mergeCell ref="H8:H9"/>
    <mergeCell ref="A9:B9"/>
    <mergeCell ref="C9:D9"/>
    <mergeCell ref="E9:F9"/>
    <mergeCell ref="A10:B11"/>
    <mergeCell ref="C10:D11"/>
    <mergeCell ref="E10:F11"/>
    <mergeCell ref="G10:G11"/>
    <mergeCell ref="H10:H11"/>
    <mergeCell ref="A12:D12"/>
    <mergeCell ref="A13:I14"/>
    <mergeCell ref="D16:D21"/>
    <mergeCell ref="H16:H21"/>
    <mergeCell ref="I16:I21"/>
    <mergeCell ref="D22:G22"/>
    <mergeCell ref="A24:I24"/>
    <mergeCell ref="E26:E31"/>
    <mergeCell ref="H26:H31"/>
    <mergeCell ref="I26:I31"/>
    <mergeCell ref="E32:G32"/>
    <mergeCell ref="A34:I34"/>
    <mergeCell ref="E35:G40"/>
    <mergeCell ref="H35:H40"/>
    <mergeCell ref="I35:I40"/>
    <mergeCell ref="E41:G41"/>
    <mergeCell ref="A43:I4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es-US</dc:language>
  <cp:lastModifiedBy/>
  <dcterms:modified xsi:type="dcterms:W3CDTF">2026-06-05T19:56:54Z</dcterms:modified>
  <cp:revision>2</cp:revision>
  <dc:subject/>
  <dc:title/>
</cp:coreProperties>
</file>