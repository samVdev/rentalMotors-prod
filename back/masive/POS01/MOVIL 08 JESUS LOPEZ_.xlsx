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<sst xmlns="http://schemas.openxmlformats.org/spreadsheetml/2006/main" count="163" uniqueCount="61">
  <si>
    <t xml:space="preserve"> 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</si>
  <si>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</si>
  <si>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</si>
  <si>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</si>
  <si>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</si>
  <si>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</si>
  <si>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</si>
  <si>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</si>
  <si>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A21987G</t>
  </si>
  <si>
    <t>SBR</t>
  </si>
  <si>
    <t>BERA</t>
  </si>
  <si>
    <t>YIE71H</t>
  </si>
  <si>
    <t>MOVIL 08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</si>
  <si>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</si>
  <si>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</si>
  <si>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</si>
  <si>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</si>
  <si>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</si>
  <si>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</si>
  <si>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</si>
  <si>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</si>
  <si>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</si>
  <si>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</si>
  <si>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</si>
  <si>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</si>
  <si>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</si>
  <si>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Traspaso de propiedad</t>
  </si>
  <si>
    <t xml:space="preserve">DEUDA DE SEMANA </t>
  </si>
  <si>
    <t>JESUS ANDRES</t>
  </si>
  <si>
    <t>LOPEZ MORALES</t>
  </si>
  <si>
    <t>VENEZOLANA</t>
  </si>
  <si>
    <t>SOAT</t>
  </si>
  <si>
    <t>FIRMA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</si>
  <si>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</si>
  <si>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</si>
  <si>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</si>
  <si>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</si>
  <si>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</si>
  <si>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</si>
  <si>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</si>
  <si>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</si>
  <si>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M02140271</t>
  </si>
  <si>
    <t>M00156218</t>
  </si>
  <si>
    <t>M03166817</t>
  </si>
  <si>
    <t>M05284498</t>
  </si>
  <si>
    <t>SOLO PAGOS POR BANCOLOMBIA</t>
  </si>
  <si>
    <t>FECHA DEL PRESTAMOS</t>
  </si>
  <si>
    <t xml:space="preserve">COSTO DEL VEICULO </t>
  </si>
  <si>
    <t xml:space="preserve">INICIAL DEL VEICULO </t>
  </si>
  <si>
    <t>PRESTAMO</t>
  </si>
  <si>
    <t>TASA DE INTERES ( 2,38)</t>
  </si>
  <si>
    <t>COSTO NETO DE LA MOTO</t>
  </si>
  <si>
    <t>MENSUALIDA GPS</t>
  </si>
  <si>
    <t xml:space="preserve">TOTAL APAGAR GPS </t>
  </si>
  <si>
    <t xml:space="preserve">MESES A PAGAR </t>
  </si>
  <si>
    <t xml:space="preserve">COSTO NETO DE LA MOTO CON LOS TRAMITES Y SERVICIO </t>
  </si>
  <si>
    <t>SALDO PAGADO</t>
  </si>
  <si>
    <t xml:space="preserve">SALDO PENDIENTE </t>
  </si>
  <si>
    <t>DEUDA ADQUIRIDA</t>
  </si>
  <si>
    <t>MESES ADQUIRIDO</t>
  </si>
  <si>
    <t>MESES PAGADO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</si>
</sst>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[$$]#,##0.00"/>
    <numFmt numFmtId="166" formatCode="dd/mm/yyyy"/>
    <numFmt numFmtId="167" formatCode="&quot;$&quot;#,##0"/>
    <numFmt numFmtId="168" formatCode="&quot;$&quot;#,##0.00"/>
    <numFmt numFmtId="169" formatCode="[$$]#,##0"/>
  </numFmts>
  <fonts count="38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sz val="12.0"/>
      <color theme="1"/>
      <name val="Arial"/>
    </font>
    <font/>
    <font>
      <b/>
      <sz val="12.0"/>
      <color rgb="FFFFFFFF"/>
      <name val="Nunito"/>
    </font>
    <font>
      <sz val="14.0"/>
      <color theme="1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sz val="13.0"/>
      <color theme="1"/>
      <name val="Arial"/>
    </font>
    <font>
      <b/>
      <sz val="13.0"/>
      <color rgb="FF0077D9"/>
      <name val="Arial"/>
    </font>
    <font>
      <b/>
      <sz val="13.0"/>
      <color rgb="FFFFFFFF"/>
      <name val="Arial"/>
    </font>
    <font>
      <color theme="1"/>
      <name val="Arial"/>
      <scheme val="minor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>
      <b/>
      <sz val="25.0"/>
      <color rgb="FFFFFFFF"/>
      <name val="Arial"/>
    </font>
    <font>
      <b/>
      <sz val="24.0"/>
      <color rgb="FFFFFFFF"/>
      <name val="Arial"/>
    </font>
    <font>
      <b/>
      <sz val="25.0"/>
      <color theme="1"/>
      <name val="Arial"/>
    </font>
    <font>
      <b/>
      <sz val="23.0"/>
      <color rgb="FFFFFFFF"/>
      <name val="Arial"/>
    </font>
    <font>
      <sz val="11.0"/>
      <color theme="1"/>
      <name val="Arial"/>
    </font>
    <font>
      <b/>
      <color rgb="FF46BDC6"/>
      <name val="Arial"/>
    </font>
    <font>
      <b/>
      <sz val="12.0"/>
      <color theme="1"/>
      <name val="Arial"/>
    </font>
    <font>
      <b/>
      <sz val="36.0"/>
      <color rgb="FFFFFFFF"/>
      <name val="Rockwell"/>
    </font>
    <font>
      <sz val="14.0"/>
      <color rgb="FFFFFFFF"/>
      <name val="Rockwell"/>
    </font>
    <font>
      <sz val="28.0"/>
      <color rgb="FFFFFFFF"/>
      <name val="Arial"/>
    </font>
    <font>
      <sz val="13.0"/>
      <color theme="1"/>
      <name val="Lucida Sans"/>
    </font>
    <font>
      <b/>
      <sz val="13.0"/>
      <color theme="1"/>
      <name val="Arial"/>
    </font>
    <font>
      <b/>
      <sz val="42.0"/>
      <color rgb="FF404040"/>
      <name val="Lucida Sans"/>
    </font>
    <font>
      <b/>
      <sz val="13.0"/>
      <color theme="1"/>
      <name val="Lucida Sans"/>
    </font>
    <font>
      <sz val="40.0"/>
      <color theme="1"/>
      <name val="Arial"/>
    </font>
    <font>
      <b/>
      <sz val="13.0"/>
      <color rgb="FF404040"/>
      <name val="Lucida Sans"/>
    </font>
    <font>
      <sz val="70.0"/>
      <color theme="1"/>
      <name val="Arial"/>
    </font>
    <font>
      <b/>
      <sz val="12.0"/>
      <color theme="1"/>
      <name val="Lucida Sans"/>
    </font>
    <font>
      <b/>
      <sz val="12.0"/>
      <color rgb="FFFFFFFF"/>
      <name val="Arial"/>
    </font>
    <font>
      <sz val="21.0"/>
      <color theme="1"/>
      <name val="Arial"/>
    </font>
    <font>
      <sz val="20.0"/>
      <color theme="1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46BDC6"/>
        <bgColor rgb="FF46BDC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  <fill>
      <patternFill patternType="solid">
        <fgColor rgb="FF93C47D"/>
        <bgColor rgb="FF93C47D"/>
      </patternFill>
    </fill>
    <fill>
      <patternFill patternType="solid">
        <fgColor rgb="FFFAF9F9"/>
        <bgColor rgb="FFFAF9F9"/>
      </patternFill>
    </fill>
    <fill>
      <patternFill patternType="solid">
        <fgColor rgb="FF005677"/>
        <bgColor rgb="FF005677"/>
      </patternFill>
    </fill>
    <fill>
      <patternFill patternType="solid">
        <fgColor rgb="FFC8F0FF"/>
        <bgColor rgb="FFC8F0FF"/>
      </patternFill>
    </fill>
    <fill>
      <patternFill patternType="solid">
        <fgColor rgb="FF91E0FF"/>
        <bgColor rgb="FF91E0FF"/>
      </patternFill>
    </fill>
    <fill>
      <patternFill patternType="solid">
        <fgColor rgb="FF666666"/>
        <bgColor rgb="FF666666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</fills>
  <borders count="25">
    <border/>
    <border>
      <left style="thin">
        <color rgb="FF4285F4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medium">
        <color rgb="FFFF6D01"/>
      </left>
      <top style="medium">
        <color rgb="FFFF6D01"/>
      </top>
    </border>
    <border>
      <top style="medium">
        <color rgb="FFFF6D01"/>
      </top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1" fillId="3" fontId="2" numFmtId="164" xfId="0" applyAlignment="1" applyBorder="1" applyFill="1" applyFont="1" applyNumberFormat="1">
      <alignment horizontal="center" readingOrder="0" vertical="bottom"/>
    </xf>
    <xf borderId="2" fillId="4" fontId="3" numFmtId="0" xfId="0" applyAlignment="1" applyBorder="1" applyFill="1" applyFont="1">
      <alignment horizontal="center" vertical="bottom"/>
    </xf>
    <xf borderId="2" fillId="4" fontId="4" numFmtId="1" xfId="0" applyAlignment="1" applyBorder="1" applyFont="1" applyNumberFormat="1">
      <alignment horizontal="center" readingOrder="0" vertical="bottom"/>
    </xf>
    <xf borderId="2" fillId="4" fontId="3" numFmtId="1" xfId="0" applyAlignment="1" applyBorder="1" applyFont="1" applyNumberFormat="1">
      <alignment horizontal="center" readingOrder="0" vertical="bottom"/>
    </xf>
    <xf borderId="2" fillId="4" fontId="3" numFmtId="0" xfId="0" applyAlignment="1" applyBorder="1" applyFont="1">
      <alignment horizontal="center" readingOrder="0" vertical="bottom"/>
    </xf>
    <xf borderId="2" fillId="4" fontId="3" numFmtId="49" xfId="0" applyAlignment="1" applyBorder="1" applyFont="1" applyNumberFormat="1">
      <alignment horizontal="center" readingOrder="0" vertical="bottom"/>
    </xf>
    <xf borderId="2" fillId="4" fontId="3" numFmtId="165" xfId="0" applyAlignment="1" applyBorder="1" applyFont="1" applyNumberFormat="1">
      <alignment horizontal="center" readingOrder="0" vertical="bottom"/>
    </xf>
    <xf borderId="1" fillId="0" fontId="5" numFmtId="0" xfId="0" applyBorder="1" applyFont="1"/>
    <xf borderId="0" fillId="5" fontId="2" numFmtId="0" xfId="0" applyAlignment="1" applyFill="1" applyFont="1">
      <alignment vertical="bottom"/>
    </xf>
    <xf borderId="0" fillId="6" fontId="6" numFmtId="0" xfId="0" applyAlignment="1" applyFill="1" applyFont="1">
      <alignment horizontal="center" shrinkToFit="0" vertical="bottom" wrapText="1"/>
    </xf>
    <xf borderId="0" fillId="6" fontId="6" numFmtId="0" xfId="0" applyAlignment="1" applyFont="1">
      <alignment horizontal="center" vertical="bottom"/>
    </xf>
    <xf borderId="2" fillId="4" fontId="7" numFmtId="165" xfId="0" applyAlignment="1" applyBorder="1" applyFont="1" applyNumberFormat="1">
      <alignment horizontal="center" vertical="center"/>
    </xf>
    <xf borderId="2" fillId="4" fontId="7" numFmtId="4" xfId="0" applyAlignment="1" applyBorder="1" applyFont="1" applyNumberFormat="1">
      <alignment horizontal="center" readingOrder="0" vertical="center"/>
    </xf>
    <xf borderId="2" fillId="4" fontId="7" numFmtId="1" xfId="0" applyAlignment="1" applyBorder="1" applyFont="1" applyNumberFormat="1">
      <alignment horizontal="center" readingOrder="0" vertical="center"/>
    </xf>
    <xf borderId="3" fillId="4" fontId="7" numFmtId="165" xfId="0" applyAlignment="1" applyBorder="1" applyFont="1" applyNumberFormat="1">
      <alignment horizontal="center" vertical="center"/>
    </xf>
    <xf borderId="3" fillId="7" fontId="7" numFmtId="165" xfId="0" applyAlignment="1" applyBorder="1" applyFill="1" applyFont="1" applyNumberFormat="1">
      <alignment horizontal="center" vertical="center"/>
    </xf>
    <xf borderId="0" fillId="8" fontId="8" numFmtId="0" xfId="0" applyAlignment="1" applyFill="1" applyFont="1">
      <alignment horizontal="center" vertical="bottom"/>
    </xf>
    <xf borderId="0" fillId="9" fontId="2" numFmtId="0" xfId="0" applyAlignment="1" applyFill="1" applyFont="1">
      <alignment vertical="bottom"/>
    </xf>
    <xf borderId="0" fillId="10" fontId="9" numFmtId="0" xfId="0" applyAlignment="1" applyFill="1" applyFont="1">
      <alignment horizontal="center" shrinkToFit="0" vertical="bottom" wrapText="1"/>
    </xf>
    <xf borderId="0" fillId="11" fontId="10" numFmtId="0" xfId="0" applyAlignment="1" applyFill="1" applyFont="1">
      <alignment horizontal="center" readingOrder="0" vertical="center"/>
    </xf>
    <xf borderId="0" fillId="11" fontId="11" numFmtId="0" xfId="0" applyAlignment="1" applyFont="1">
      <alignment horizontal="center" shrinkToFit="0" vertical="center" wrapText="1"/>
    </xf>
    <xf borderId="0" fillId="11" fontId="12" numFmtId="0" xfId="0" applyAlignment="1" applyFont="1">
      <alignment horizontal="center" vertical="center"/>
    </xf>
    <xf borderId="0" fillId="12" fontId="2" numFmtId="164" xfId="0" applyAlignment="1" applyFill="1" applyFont="1" applyNumberFormat="1">
      <alignment vertical="bottom"/>
    </xf>
    <xf borderId="0" fillId="3" fontId="2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0" fillId="13" fontId="13" numFmtId="0" xfId="0" applyFill="1" applyFont="1"/>
    <xf borderId="0" fillId="14" fontId="2" numFmtId="164" xfId="0" applyAlignment="1" applyFill="1" applyFont="1" applyNumberFormat="1">
      <alignment vertical="bottom"/>
    </xf>
    <xf borderId="4" fillId="3" fontId="14" numFmtId="0" xfId="0" applyAlignment="1" applyBorder="1" applyFont="1">
      <alignment horizontal="center" vertical="bottom"/>
    </xf>
    <xf borderId="0" fillId="6" fontId="15" numFmtId="0" xfId="0" applyAlignment="1" applyFont="1">
      <alignment horizontal="center" vertical="bottom"/>
    </xf>
    <xf borderId="0" fillId="6" fontId="16" numFmtId="0" xfId="0" applyAlignment="1" applyFont="1">
      <alignment horizontal="center" vertical="bottom"/>
    </xf>
    <xf borderId="5" fillId="0" fontId="5" numFmtId="0" xfId="0" applyBorder="1" applyFont="1"/>
    <xf borderId="0" fillId="3" fontId="14" numFmtId="3" xfId="0" applyAlignment="1" applyFont="1" applyNumberFormat="1">
      <alignment horizontal="center" vertical="bottom"/>
    </xf>
    <xf borderId="0" fillId="15" fontId="17" numFmtId="4" xfId="0" applyAlignment="1" applyFill="1" applyFont="1" applyNumberFormat="1">
      <alignment horizontal="center" vertical="bottom"/>
    </xf>
    <xf borderId="0" fillId="12" fontId="18" numFmtId="4" xfId="0" applyAlignment="1" applyFont="1" applyNumberFormat="1">
      <alignment horizontal="center" vertical="bottom"/>
    </xf>
    <xf borderId="0" fillId="12" fontId="17" numFmtId="164" xfId="0" applyAlignment="1" applyFont="1" applyNumberFormat="1">
      <alignment horizontal="center" vertical="bottom"/>
    </xf>
    <xf borderId="5" fillId="3" fontId="19" numFmtId="0" xfId="0" applyAlignment="1" applyBorder="1" applyFont="1">
      <alignment horizontal="center" vertical="bottom"/>
    </xf>
    <xf borderId="6" fillId="0" fontId="5" numFmtId="0" xfId="0" applyBorder="1" applyFont="1"/>
    <xf borderId="0" fillId="16" fontId="15" numFmtId="0" xfId="0" applyAlignment="1" applyFill="1" applyFont="1">
      <alignment vertical="bottom"/>
    </xf>
    <xf borderId="7" fillId="16" fontId="2" numFmtId="0" xfId="0" applyAlignment="1" applyBorder="1" applyFont="1">
      <alignment vertical="bottom"/>
    </xf>
    <xf borderId="8" fillId="16" fontId="2" numFmtId="0" xfId="0" applyAlignment="1" applyBorder="1" applyFont="1">
      <alignment vertical="bottom"/>
    </xf>
    <xf borderId="0" fillId="16" fontId="2" numFmtId="0" xfId="0" applyAlignment="1" applyFont="1">
      <alignment vertical="bottom"/>
    </xf>
    <xf borderId="0" fillId="17" fontId="15" numFmtId="0" xfId="0" applyAlignment="1" applyFill="1" applyFont="1">
      <alignment horizontal="center" vertical="center"/>
    </xf>
    <xf borderId="0" fillId="17" fontId="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3" fontId="2" numFmtId="166" xfId="0" applyAlignment="1" applyFont="1" applyNumberFormat="1">
      <alignment horizontal="center" readingOrder="0" vertical="center"/>
    </xf>
    <xf borderId="0" fillId="18" fontId="2" numFmtId="164" xfId="0" applyAlignment="1" applyFill="1" applyFont="1" applyNumberFormat="1">
      <alignment horizontal="center" vertical="center"/>
    </xf>
    <xf borderId="0" fillId="18" fontId="2" numFmtId="167" xfId="0" applyAlignment="1" applyFont="1" applyNumberFormat="1">
      <alignment horizontal="center" vertical="center"/>
    </xf>
    <xf borderId="0" fillId="3" fontId="20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0" fillId="0" fontId="21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5" fontId="2" numFmtId="0" xfId="0" applyAlignment="1" applyFont="1">
      <alignment horizontal="center" vertical="center"/>
    </xf>
    <xf borderId="0" fillId="5" fontId="12" numFmtId="164" xfId="0" applyAlignment="1" applyFont="1" applyNumberFormat="1">
      <alignment horizontal="center" vertical="center"/>
    </xf>
    <xf borderId="0" fillId="5" fontId="12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19" fontId="2" numFmtId="0" xfId="0" applyAlignment="1" applyFill="1" applyFont="1">
      <alignment horizontal="center" vertical="center"/>
    </xf>
    <xf borderId="0" fillId="3" fontId="22" numFmtId="0" xfId="0" applyAlignment="1" applyFont="1">
      <alignment horizontal="center" vertical="center"/>
    </xf>
    <xf borderId="0" fillId="19" fontId="2" numFmtId="0" xfId="0" applyAlignment="1" applyFont="1">
      <alignment horizontal="center" readingOrder="0" vertical="center"/>
    </xf>
    <xf borderId="0" fillId="3" fontId="22" numFmtId="0" xfId="0" applyAlignment="1" applyFont="1">
      <alignment horizontal="center" readingOrder="0" vertical="center"/>
    </xf>
    <xf borderId="0" fillId="0" fontId="2" numFmtId="168" xfId="0" applyAlignment="1" applyFont="1" applyNumberFormat="1">
      <alignment horizontal="center" vertical="center"/>
    </xf>
    <xf borderId="0" fillId="18" fontId="23" numFmtId="167" xfId="0" applyAlignment="1" applyFont="1" applyNumberFormat="1">
      <alignment horizontal="center" readingOrder="0" vertical="center"/>
    </xf>
    <xf borderId="0" fillId="3" fontId="2" numFmtId="166" xfId="0" applyAlignment="1" applyFont="1" applyNumberFormat="1">
      <alignment horizontal="center" vertical="center"/>
    </xf>
    <xf borderId="0" fillId="20" fontId="2" numFmtId="166" xfId="0" applyAlignment="1" applyFill="1" applyFont="1" applyNumberFormat="1">
      <alignment horizontal="center" vertical="center"/>
    </xf>
    <xf borderId="0" fillId="5" fontId="12" numFmtId="0" xfId="0" applyAlignment="1" applyFont="1">
      <alignment horizontal="center" readingOrder="0" vertical="center"/>
    </xf>
    <xf borderId="0" fillId="21" fontId="2" numFmtId="0" xfId="0" applyAlignment="1" applyFill="1" applyFont="1">
      <alignment horizontal="center" vertical="center"/>
    </xf>
    <xf borderId="0" fillId="21" fontId="2" numFmtId="0" xfId="0" applyAlignment="1" applyFont="1">
      <alignment vertical="bottom"/>
    </xf>
    <xf borderId="9" fillId="19" fontId="24" numFmtId="0" xfId="0" applyAlignment="1" applyBorder="1" applyFont="1">
      <alignment horizontal="center" vertical="bottom"/>
    </xf>
    <xf borderId="10" fillId="0" fontId="5" numFmtId="0" xfId="0" applyBorder="1" applyFont="1"/>
    <xf borderId="11" fillId="0" fontId="5" numFmtId="0" xfId="0" applyBorder="1" applyFont="1"/>
    <xf borderId="12" fillId="5" fontId="2" numFmtId="0" xfId="0" applyAlignment="1" applyBorder="1" applyFont="1">
      <alignment vertical="bottom"/>
    </xf>
    <xf borderId="13" fillId="5" fontId="2" numFmtId="0" xfId="0" applyAlignment="1" applyBorder="1" applyFont="1">
      <alignment vertical="bottom"/>
    </xf>
    <xf borderId="14" fillId="22" fontId="25" numFmtId="0" xfId="0" applyAlignment="1" applyBorder="1" applyFill="1" applyFont="1">
      <alignment horizontal="center" vertical="bottom"/>
    </xf>
    <xf borderId="15" fillId="0" fontId="5" numFmtId="0" xfId="0" applyBorder="1" applyFont="1"/>
    <xf borderId="16" fillId="22" fontId="26" numFmtId="0" xfId="0" applyAlignment="1" applyBorder="1" applyFont="1">
      <alignment horizontal="center" vertical="bottom"/>
    </xf>
    <xf borderId="17" fillId="0" fontId="5" numFmtId="0" xfId="0" applyBorder="1" applyFont="1"/>
    <xf borderId="18" fillId="0" fontId="5" numFmtId="0" xfId="0" applyBorder="1" applyFont="1"/>
    <xf borderId="19" fillId="23" fontId="27" numFmtId="0" xfId="0" applyAlignment="1" applyBorder="1" applyFill="1" applyFont="1">
      <alignment vertical="bottom"/>
    </xf>
    <xf borderId="0" fillId="3" fontId="10" numFmtId="166" xfId="0" applyAlignment="1" applyFont="1" applyNumberFormat="1">
      <alignment horizontal="center" vertical="bottom"/>
    </xf>
    <xf borderId="20" fillId="0" fontId="5" numFmtId="0" xfId="0" applyBorder="1" applyFont="1"/>
    <xf borderId="21" fillId="0" fontId="5" numFmtId="0" xfId="0" applyBorder="1" applyFont="1"/>
    <xf borderId="22" fillId="0" fontId="5" numFmtId="0" xfId="0" applyBorder="1" applyFont="1"/>
    <xf borderId="2" fillId="3" fontId="28" numFmtId="169" xfId="0" applyAlignment="1" applyBorder="1" applyFont="1" applyNumberFormat="1">
      <alignment horizontal="center" vertical="bottom"/>
    </xf>
    <xf borderId="0" fillId="0" fontId="29" numFmtId="0" xfId="0" applyAlignment="1" applyFont="1">
      <alignment horizontal="center" readingOrder="0" vertical="center"/>
    </xf>
    <xf borderId="14" fillId="23" fontId="27" numFmtId="0" xfId="0" applyAlignment="1" applyBorder="1" applyFont="1">
      <alignment vertical="bottom"/>
    </xf>
    <xf borderId="19" fillId="23" fontId="30" numFmtId="0" xfId="0" applyAlignment="1" applyBorder="1" applyFont="1">
      <alignment vertical="bottom"/>
    </xf>
    <xf borderId="0" fillId="0" fontId="28" numFmtId="169" xfId="0" applyAlignment="1" applyFont="1" applyNumberFormat="1">
      <alignment horizontal="center" vertical="bottom"/>
    </xf>
    <xf borderId="0" fillId="24" fontId="28" numFmtId="3" xfId="0" applyAlignment="1" applyFill="1" applyFont="1" applyNumberFormat="1">
      <alignment horizontal="center" vertical="bottom"/>
    </xf>
    <xf borderId="0" fillId="25" fontId="12" numFmtId="0" xfId="0" applyAlignment="1" applyFill="1" applyFont="1">
      <alignment shrinkToFit="0" vertical="bottom" wrapText="1"/>
    </xf>
    <xf borderId="0" fillId="24" fontId="28" numFmtId="164" xfId="0" applyAlignment="1" applyFont="1" applyNumberFormat="1">
      <alignment horizontal="center" vertical="bottom"/>
    </xf>
    <xf borderId="0" fillId="3" fontId="31" numFmtId="168" xfId="0" applyAlignment="1" applyFont="1" applyNumberFormat="1">
      <alignment horizontal="center" vertical="bottom"/>
    </xf>
    <xf borderId="0" fillId="25" fontId="2" numFmtId="0" xfId="0" applyAlignment="1" applyFont="1">
      <alignment vertical="bottom"/>
    </xf>
    <xf borderId="0" fillId="24" fontId="2" numFmtId="164" xfId="0" applyAlignment="1" applyFont="1" applyNumberFormat="1">
      <alignment vertical="bottom"/>
    </xf>
    <xf borderId="0" fillId="24" fontId="2" numFmtId="164" xfId="0" applyAlignment="1" applyFont="1" applyNumberFormat="1">
      <alignment readingOrder="0" vertical="bottom"/>
    </xf>
    <xf borderId="0" fillId="3" fontId="32" numFmtId="0" xfId="0" applyAlignment="1" applyFont="1">
      <alignment vertical="bottom"/>
    </xf>
    <xf borderId="0" fillId="3" fontId="2" numFmtId="164" xfId="0" applyAlignment="1" applyFont="1" applyNumberFormat="1">
      <alignment horizontal="center" vertical="bottom"/>
    </xf>
    <xf borderId="0" fillId="18" fontId="33" numFmtId="168" xfId="0" applyAlignment="1" applyFont="1" applyNumberFormat="1">
      <alignment horizontal="center" vertical="bottom"/>
    </xf>
    <xf borderId="0" fillId="3" fontId="2" numFmtId="164" xfId="0" applyAlignment="1" applyFont="1" applyNumberFormat="1">
      <alignment vertical="bottom"/>
    </xf>
    <xf borderId="23" fillId="3" fontId="27" numFmtId="0" xfId="0" applyAlignment="1" applyBorder="1" applyFont="1">
      <alignment vertical="bottom"/>
    </xf>
    <xf borderId="24" fillId="3" fontId="30" numFmtId="3" xfId="0" applyAlignment="1" applyBorder="1" applyFont="1" applyNumberFormat="1">
      <alignment horizontal="center" vertical="bottom"/>
    </xf>
    <xf borderId="19" fillId="26" fontId="34" numFmtId="0" xfId="0" applyAlignment="1" applyBorder="1" applyFill="1" applyFont="1">
      <alignment shrinkToFit="0" vertical="bottom" wrapText="1"/>
    </xf>
    <xf borderId="0" fillId="26" fontId="2" numFmtId="3" xfId="0" applyAlignment="1" applyFont="1" applyNumberFormat="1">
      <alignment vertical="bottom"/>
    </xf>
    <xf borderId="0" fillId="3" fontId="35" numFmtId="0" xfId="0" applyAlignment="1" applyFont="1">
      <alignment horizontal="center" vertical="bottom"/>
    </xf>
    <xf borderId="0" fillId="3" fontId="35" numFmtId="0" xfId="0" applyAlignment="1" applyFont="1">
      <alignment horizontal="center" shrinkToFit="0" vertical="bottom" wrapText="1"/>
    </xf>
    <xf borderId="0" fillId="7" fontId="36" numFmtId="164" xfId="0" applyAlignment="1" applyFont="1" applyNumberFormat="1">
      <alignment horizontal="center" vertical="bottom"/>
    </xf>
    <xf borderId="0" fillId="19" fontId="36" numFmtId="164" xfId="0" applyAlignment="1" applyFont="1" applyNumberFormat="1">
      <alignment horizontal="center" vertical="bottom"/>
    </xf>
    <xf borderId="0" fillId="27" fontId="37" numFmtId="164" xfId="0" applyAlignment="1" applyFill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1838325</xdr:colOff>
      <xdr:row>0</xdr:row>
      <xdr:rowOff>0</xdr:rowOff>
    </xdr:from>
    <xdr:ext cx="2295525" cy="2600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381000</xdr:colOff>
      <xdr:row>1</xdr:row>
      <xdr:rowOff>171450</xdr:rowOff>
    </xdr:from>
    <xdr:ext cx="1495425" cy="1704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22.25"/>
    <col customWidth="1" min="2" max="2" width="22.88"/>
    <col customWidth="1" min="3" max="3" width="19.25"/>
    <col customWidth="1" min="4" max="4" width="21.25"/>
    <col customWidth="1" min="5" max="5" width="22.13"/>
    <col customWidth="1" min="6" max="6" width="22.75"/>
    <col customWidth="1" min="7" max="7" width="21.25"/>
    <col customWidth="1" min="8" max="8" width="24.25"/>
    <col customWidth="1" min="9" max="9" width="3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>
      <c r="A2" s="4" t="s">
        <v>8</v>
      </c>
      <c r="B2" s="5" t="s">
        <v>9</v>
      </c>
      <c r="C2" s="6">
        <v>2026.0</v>
      </c>
      <c r="D2" s="7" t="s">
        <v>10</v>
      </c>
      <c r="E2" s="7" t="s">
        <v>11</v>
      </c>
      <c r="F2" s="8" t="s">
        <v>12</v>
      </c>
      <c r="G2" s="9">
        <v>6000000.0</v>
      </c>
      <c r="H2" s="9">
        <v>800000.0</v>
      </c>
      <c r="I2" s="10"/>
    </row>
    <row r="3">
      <c r="A3" s="11"/>
      <c r="B3" s="11"/>
      <c r="C3" s="11"/>
      <c r="D3" s="11"/>
      <c r="E3" s="11"/>
      <c r="F3" s="11"/>
      <c r="G3" s="11"/>
      <c r="H3" s="11"/>
      <c r="I3" s="10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10"/>
    </row>
    <row r="5">
      <c r="A5" s="14">
        <f>G2-H2</f>
        <v>5200000</v>
      </c>
      <c r="B5" s="14">
        <f>2.3</f>
        <v>2.3</v>
      </c>
      <c r="C5" s="15">
        <v>1.36E7</v>
      </c>
      <c r="D5" s="16">
        <v>18.0</v>
      </c>
      <c r="E5" s="17">
        <f>C5/D5</f>
        <v>755555.5556</v>
      </c>
      <c r="F5" s="17">
        <f t="shared" ref="F5:G5" si="1">E5/2</f>
        <v>377777.7778</v>
      </c>
      <c r="G5" s="18">
        <f t="shared" si="1"/>
        <v>188888.8889</v>
      </c>
      <c r="H5" s="17">
        <f>G5/6</f>
        <v>31481.48148</v>
      </c>
      <c r="I5" s="10"/>
    </row>
    <row r="6">
      <c r="A6" s="19" t="s">
        <v>21</v>
      </c>
      <c r="B6" s="19" t="s">
        <v>22</v>
      </c>
      <c r="C6" s="19" t="s">
        <v>23</v>
      </c>
      <c r="D6" s="19" t="s">
        <v>24</v>
      </c>
      <c r="E6" s="19" t="s">
        <v>25</v>
      </c>
      <c r="F6" s="20"/>
      <c r="G6" s="21" t="s">
        <v>26</v>
      </c>
      <c r="H6" s="21" t="s">
        <v>27</v>
      </c>
      <c r="I6" s="10"/>
    </row>
    <row r="7">
      <c r="A7" s="22" t="s">
        <v>28</v>
      </c>
      <c r="B7" s="22" t="s">
        <v>29</v>
      </c>
      <c r="C7" s="22">
        <v>3.0082499E7</v>
      </c>
      <c r="D7" s="22" t="s">
        <v>30</v>
      </c>
      <c r="E7" s="22">
        <v>3.169408429E9</v>
      </c>
      <c r="F7" s="23" t="s">
        <v>31</v>
      </c>
      <c r="G7" s="24" t="s">
        <v>32</v>
      </c>
      <c r="H7" s="25"/>
      <c r="I7" s="10"/>
    </row>
    <row r="8">
      <c r="A8" s="26"/>
      <c r="B8" s="26"/>
      <c r="C8" s="26"/>
      <c r="D8" s="26"/>
      <c r="E8" s="27"/>
      <c r="F8" s="28"/>
      <c r="G8" s="29"/>
      <c r="H8" s="30" t="s">
        <v>16</v>
      </c>
      <c r="I8" s="10"/>
    </row>
    <row r="9">
      <c r="A9" s="31" t="s">
        <v>33</v>
      </c>
      <c r="C9" s="32" t="s">
        <v>34</v>
      </c>
      <c r="E9" s="32" t="s">
        <v>35</v>
      </c>
      <c r="G9" s="32" t="s">
        <v>36</v>
      </c>
      <c r="H9" s="33"/>
      <c r="I9" s="10"/>
    </row>
    <row r="10">
      <c r="A10" s="34">
        <f>I16+I26+I36+I46+I56+I66+I76+I86+I95</f>
        <v>3971000</v>
      </c>
      <c r="C10" s="35">
        <f>C5-A10</f>
        <v>9629000</v>
      </c>
      <c r="E10" s="36">
        <f>C10+G10</f>
        <v>9629000</v>
      </c>
      <c r="G10" s="37"/>
      <c r="H10" s="38">
        <f>I23+I33+I43+I53+I63+I73+I83</f>
        <v>5</v>
      </c>
      <c r="I10" s="10"/>
    </row>
    <row r="11">
      <c r="H11" s="39"/>
      <c r="I11" s="10"/>
    </row>
    <row r="12">
      <c r="A12" s="40" t="s">
        <v>37</v>
      </c>
      <c r="E12" s="41"/>
      <c r="F12" s="42"/>
      <c r="G12" s="42"/>
      <c r="H12" s="43"/>
      <c r="I12" s="10"/>
    </row>
    <row r="13">
      <c r="A13" s="11"/>
      <c r="B13" s="11"/>
      <c r="C13" s="11"/>
      <c r="D13" s="11"/>
      <c r="E13" s="11"/>
      <c r="F13" s="11"/>
      <c r="G13" s="11"/>
      <c r="H13" s="11"/>
      <c r="I13" s="11"/>
    </row>
    <row r="14">
      <c r="A14" s="11"/>
      <c r="B14" s="11"/>
      <c r="C14" s="11"/>
      <c r="D14" s="11"/>
      <c r="E14" s="11"/>
      <c r="F14" s="11"/>
      <c r="G14" s="11"/>
      <c r="H14" s="11"/>
      <c r="I14" s="11"/>
    </row>
    <row r="15">
      <c r="A15" s="44" t="s">
        <v>38</v>
      </c>
      <c r="B15" s="44" t="s">
        <v>39</v>
      </c>
      <c r="C15" s="44" t="s">
        <v>38</v>
      </c>
      <c r="D15" s="44" t="s">
        <v>39</v>
      </c>
      <c r="E15" s="44" t="s">
        <v>38</v>
      </c>
      <c r="F15" s="44" t="s">
        <v>39</v>
      </c>
      <c r="G15" s="44" t="s">
        <v>38</v>
      </c>
      <c r="H15" s="44" t="s">
        <v>39</v>
      </c>
      <c r="I15" s="45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7">
        <v>46020.0</v>
      </c>
      <c r="B16" s="48"/>
      <c r="C16" s="47">
        <v>46027.0</v>
      </c>
      <c r="D16" s="49"/>
      <c r="E16" s="47">
        <v>46034.0</v>
      </c>
      <c r="F16" s="49"/>
      <c r="G16" s="47">
        <v>46041.0</v>
      </c>
      <c r="H16" s="49"/>
      <c r="I16" s="50">
        <f>B22+D22+F22+H22</f>
        <v>756000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7">
        <v>46021.0</v>
      </c>
      <c r="B17" s="51"/>
      <c r="C17" s="47">
        <v>46028.0</v>
      </c>
      <c r="D17" s="52"/>
      <c r="E17" s="47">
        <v>46035.0</v>
      </c>
      <c r="F17" s="52"/>
      <c r="G17" s="47">
        <v>46042.0</v>
      </c>
      <c r="H17" s="52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7">
        <v>46022.0</v>
      </c>
      <c r="B18" s="53">
        <v>189000.0</v>
      </c>
      <c r="C18" s="47">
        <v>46029.0</v>
      </c>
      <c r="D18" s="54">
        <v>189000.0</v>
      </c>
      <c r="E18" s="47">
        <v>46036.0</v>
      </c>
      <c r="F18" s="55">
        <v>189000.0</v>
      </c>
      <c r="G18" s="47">
        <v>46043.0</v>
      </c>
      <c r="H18" s="55">
        <v>189000.0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7">
        <v>46023.0</v>
      </c>
      <c r="B19" s="51"/>
      <c r="C19" s="47">
        <v>46030.0</v>
      </c>
      <c r="D19" s="52"/>
      <c r="E19" s="47">
        <v>46037.0</v>
      </c>
      <c r="F19" s="52"/>
      <c r="G19" s="47">
        <v>46044.0</v>
      </c>
      <c r="H19" s="52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7">
        <v>46024.0</v>
      </c>
      <c r="B20" s="51"/>
      <c r="C20" s="47">
        <v>46031.0</v>
      </c>
      <c r="D20" s="52"/>
      <c r="E20" s="47">
        <v>46038.0</v>
      </c>
      <c r="F20" s="52"/>
      <c r="G20" s="47">
        <v>46045.0</v>
      </c>
      <c r="H20" s="52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7">
        <v>46025.0</v>
      </c>
      <c r="B21" s="51"/>
      <c r="C21" s="47">
        <v>46032.0</v>
      </c>
      <c r="D21" s="52"/>
      <c r="E21" s="47">
        <v>46039.0</v>
      </c>
      <c r="F21" s="52"/>
      <c r="G21" s="47">
        <v>46046.0</v>
      </c>
      <c r="H21" s="52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56"/>
      <c r="B22" s="57">
        <f>SUM(B16:B21)</f>
        <v>189000</v>
      </c>
      <c r="C22" s="56"/>
      <c r="D22" s="57">
        <f>SUM(D16:D21)</f>
        <v>189000</v>
      </c>
      <c r="E22" s="56"/>
      <c r="F22" s="57">
        <f>SUM(F16:F21)</f>
        <v>189000</v>
      </c>
      <c r="G22" s="56"/>
      <c r="H22" s="57">
        <f>SUM(H16:H21)</f>
        <v>189000</v>
      </c>
      <c r="I22" s="58">
        <v>1.0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59" t="s">
        <v>40</v>
      </c>
      <c r="B23" s="60"/>
      <c r="C23" s="59" t="s">
        <v>40</v>
      </c>
      <c r="D23" s="60"/>
      <c r="E23" s="59" t="s">
        <v>40</v>
      </c>
      <c r="F23" s="60"/>
      <c r="G23" s="59" t="s">
        <v>40</v>
      </c>
      <c r="H23" s="60"/>
      <c r="I23" s="61">
        <v>1.0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5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4" t="s">
        <v>38</v>
      </c>
      <c r="B25" s="44" t="s">
        <v>39</v>
      </c>
      <c r="C25" s="44" t="s">
        <v>38</v>
      </c>
      <c r="D25" s="44" t="s">
        <v>39</v>
      </c>
      <c r="E25" s="44" t="s">
        <v>38</v>
      </c>
      <c r="F25" s="44" t="s">
        <v>39</v>
      </c>
      <c r="G25" s="44" t="s">
        <v>38</v>
      </c>
      <c r="H25" s="44" t="s">
        <v>39</v>
      </c>
      <c r="I25" s="4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7">
        <v>46048.0</v>
      </c>
      <c r="B26" s="48"/>
      <c r="C26" s="47">
        <v>46055.0</v>
      </c>
      <c r="D26" s="53">
        <v>189000.0</v>
      </c>
      <c r="E26" s="47">
        <v>46062.0</v>
      </c>
      <c r="F26" s="53">
        <v>189000.0</v>
      </c>
      <c r="G26" s="47">
        <v>46069.0</v>
      </c>
      <c r="H26" s="53">
        <v>189000.0</v>
      </c>
      <c r="I26" s="50">
        <f>B32+D32+F32+H32</f>
        <v>756000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7">
        <v>46049.0</v>
      </c>
      <c r="B27" s="51"/>
      <c r="C27" s="47">
        <v>46056.0</v>
      </c>
      <c r="D27" s="51"/>
      <c r="E27" s="47">
        <v>46063.0</v>
      </c>
      <c r="F27" s="51"/>
      <c r="G27" s="47">
        <v>46070.0</v>
      </c>
      <c r="H27" s="52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7">
        <v>46050.0</v>
      </c>
      <c r="B28" s="53">
        <v>189000.0</v>
      </c>
      <c r="C28" s="47">
        <v>46057.0</v>
      </c>
      <c r="D28" s="51"/>
      <c r="E28" s="47">
        <v>46064.0</v>
      </c>
      <c r="F28" s="51"/>
      <c r="G28" s="47">
        <v>46071.0</v>
      </c>
      <c r="H28" s="52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7">
        <v>46051.0</v>
      </c>
      <c r="B29" s="51"/>
      <c r="C29" s="47">
        <v>46058.0</v>
      </c>
      <c r="D29" s="51"/>
      <c r="E29" s="47">
        <v>46065.0</v>
      </c>
      <c r="F29" s="51"/>
      <c r="G29" s="47">
        <v>46072.0</v>
      </c>
      <c r="H29" s="52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7">
        <v>46052.0</v>
      </c>
      <c r="B30" s="51"/>
      <c r="C30" s="47">
        <v>46059.0</v>
      </c>
      <c r="D30" s="51"/>
      <c r="E30" s="47">
        <v>46066.0</v>
      </c>
      <c r="F30" s="51"/>
      <c r="G30" s="47">
        <v>46073.0</v>
      </c>
      <c r="H30" s="52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47">
        <v>46053.0</v>
      </c>
      <c r="B31" s="51"/>
      <c r="C31" s="47">
        <v>46060.0</v>
      </c>
      <c r="D31" s="51"/>
      <c r="E31" s="47">
        <v>46067.0</v>
      </c>
      <c r="F31" s="51"/>
      <c r="G31" s="47">
        <v>46074.0</v>
      </c>
      <c r="H31" s="52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56"/>
      <c r="B32" s="57">
        <f>SUM(B26:B31)</f>
        <v>189000</v>
      </c>
      <c r="C32" s="56"/>
      <c r="D32" s="57">
        <f>SUM(D26:D31)</f>
        <v>189000</v>
      </c>
      <c r="E32" s="56"/>
      <c r="F32" s="57">
        <f>SUM(F26:F31)</f>
        <v>189000</v>
      </c>
      <c r="G32" s="56"/>
      <c r="H32" s="57">
        <f>SUM(H26:H31)</f>
        <v>189000</v>
      </c>
      <c r="I32" s="58">
        <v>2.0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59" t="s">
        <v>40</v>
      </c>
      <c r="B33" s="60"/>
      <c r="C33" s="59" t="s">
        <v>40</v>
      </c>
      <c r="D33" s="62" t="s">
        <v>41</v>
      </c>
      <c r="E33" s="59" t="s">
        <v>40</v>
      </c>
      <c r="F33" s="62" t="s">
        <v>42</v>
      </c>
      <c r="G33" s="59" t="s">
        <v>40</v>
      </c>
      <c r="H33" s="62" t="s">
        <v>43</v>
      </c>
      <c r="I33" s="61">
        <v>1.0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5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4" t="s">
        <v>38</v>
      </c>
      <c r="B35" s="44" t="s">
        <v>39</v>
      </c>
      <c r="C35" s="44" t="s">
        <v>38</v>
      </c>
      <c r="D35" s="44" t="s">
        <v>39</v>
      </c>
      <c r="E35" s="44" t="s">
        <v>38</v>
      </c>
      <c r="F35" s="44" t="s">
        <v>39</v>
      </c>
      <c r="G35" s="44" t="s">
        <v>38</v>
      </c>
      <c r="H35" s="44" t="s">
        <v>39</v>
      </c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7">
        <v>46076.0</v>
      </c>
      <c r="B36" s="53">
        <v>189000.0</v>
      </c>
      <c r="C36" s="47">
        <v>46083.0</v>
      </c>
      <c r="D36" s="53">
        <v>189000.0</v>
      </c>
      <c r="E36" s="47">
        <v>46090.0</v>
      </c>
      <c r="F36" s="53">
        <v>189000.0</v>
      </c>
      <c r="G36" s="47">
        <v>46097.0</v>
      </c>
      <c r="H36" s="53">
        <v>189000.0</v>
      </c>
      <c r="I36" s="50">
        <f>B42+D42+F42+H42</f>
        <v>756000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7">
        <v>46077.0</v>
      </c>
      <c r="B37" s="52"/>
      <c r="C37" s="47">
        <v>46084.0</v>
      </c>
      <c r="D37" s="52"/>
      <c r="E37" s="47">
        <v>46091.0</v>
      </c>
      <c r="F37" s="52"/>
      <c r="G37" s="47">
        <v>46098.0</v>
      </c>
      <c r="H37" s="52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7">
        <v>46078.0</v>
      </c>
      <c r="B38" s="52"/>
      <c r="C38" s="47">
        <v>46085.0</v>
      </c>
      <c r="D38" s="52"/>
      <c r="E38" s="47">
        <v>46092.0</v>
      </c>
      <c r="F38" s="52"/>
      <c r="G38" s="47">
        <v>46099.0</v>
      </c>
      <c r="H38" s="52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7">
        <v>46079.0</v>
      </c>
      <c r="B39" s="52"/>
      <c r="C39" s="47">
        <v>46086.0</v>
      </c>
      <c r="D39" s="52"/>
      <c r="E39" s="47">
        <v>46093.0</v>
      </c>
      <c r="F39" s="52"/>
      <c r="G39" s="47">
        <v>46100.0</v>
      </c>
      <c r="H39" s="52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7">
        <v>46080.0</v>
      </c>
      <c r="B40" s="52"/>
      <c r="C40" s="47">
        <v>46087.0</v>
      </c>
      <c r="D40" s="52"/>
      <c r="E40" s="47">
        <v>46094.0</v>
      </c>
      <c r="F40" s="52"/>
      <c r="G40" s="47">
        <v>46101.0</v>
      </c>
      <c r="H40" s="52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7">
        <v>46081.0</v>
      </c>
      <c r="B41" s="52"/>
      <c r="C41" s="47">
        <v>46088.0</v>
      </c>
      <c r="D41" s="52"/>
      <c r="E41" s="47">
        <v>46095.0</v>
      </c>
      <c r="F41" s="52"/>
      <c r="G41" s="47">
        <v>46102.0</v>
      </c>
      <c r="H41" s="52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56"/>
      <c r="B42" s="57">
        <f>SUM(B36:B41)</f>
        <v>189000</v>
      </c>
      <c r="C42" s="56"/>
      <c r="D42" s="57">
        <f>SUM(D36:D41)</f>
        <v>189000</v>
      </c>
      <c r="E42" s="56"/>
      <c r="F42" s="57">
        <f>SUM(F36:F41)</f>
        <v>189000</v>
      </c>
      <c r="G42" s="56"/>
      <c r="H42" s="57">
        <f>SUM(H36:H41)</f>
        <v>189000</v>
      </c>
      <c r="I42" s="58">
        <v>3.0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59" t="s">
        <v>40</v>
      </c>
      <c r="B43" s="60"/>
      <c r="C43" s="59" t="s">
        <v>40</v>
      </c>
      <c r="D43" s="60"/>
      <c r="E43" s="59" t="s">
        <v>40</v>
      </c>
      <c r="F43" s="60"/>
      <c r="G43" s="59" t="s">
        <v>40</v>
      </c>
      <c r="H43" s="60"/>
      <c r="I43" s="63">
        <v>1.0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5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4" t="s">
        <v>38</v>
      </c>
      <c r="B45" s="44" t="s">
        <v>39</v>
      </c>
      <c r="C45" s="44" t="s">
        <v>38</v>
      </c>
      <c r="D45" s="44" t="s">
        <v>39</v>
      </c>
      <c r="E45" s="44" t="s">
        <v>38</v>
      </c>
      <c r="F45" s="44" t="s">
        <v>39</v>
      </c>
      <c r="G45" s="44" t="s">
        <v>38</v>
      </c>
      <c r="H45" s="44" t="s">
        <v>39</v>
      </c>
      <c r="I45" s="45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7">
        <v>46104.0</v>
      </c>
      <c r="B46" s="53">
        <v>189000.0</v>
      </c>
      <c r="C46" s="47">
        <v>46111.0</v>
      </c>
      <c r="D46" s="53">
        <v>189000.0</v>
      </c>
      <c r="E46" s="47">
        <v>46118.0</v>
      </c>
      <c r="F46" s="53">
        <v>189000.0</v>
      </c>
      <c r="G46" s="47">
        <v>46125.0</v>
      </c>
      <c r="H46" s="53">
        <v>189000.0</v>
      </c>
      <c r="I46" s="50">
        <f>B52+D52+F52+H52</f>
        <v>756000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7">
        <v>46105.0</v>
      </c>
      <c r="B47" s="52"/>
      <c r="C47" s="47">
        <v>46112.0</v>
      </c>
      <c r="D47" s="64"/>
      <c r="E47" s="47">
        <v>46119.0</v>
      </c>
      <c r="F47" s="52"/>
      <c r="G47" s="47">
        <v>46126.0</v>
      </c>
      <c r="H47" s="52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7">
        <v>46106.0</v>
      </c>
      <c r="B48" s="52"/>
      <c r="C48" s="47">
        <v>46113.0</v>
      </c>
      <c r="D48" s="52"/>
      <c r="E48" s="47">
        <v>46120.0</v>
      </c>
      <c r="F48" s="52"/>
      <c r="G48" s="47">
        <v>46127.0</v>
      </c>
      <c r="H48" s="52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7">
        <v>46107.0</v>
      </c>
      <c r="B49" s="52"/>
      <c r="C49" s="47">
        <v>46114.0</v>
      </c>
      <c r="D49" s="49"/>
      <c r="E49" s="47">
        <v>46121.0</v>
      </c>
      <c r="F49" s="49"/>
      <c r="G49" s="47">
        <v>46128.0</v>
      </c>
      <c r="H49" s="49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7">
        <v>46108.0</v>
      </c>
      <c r="B50" s="52"/>
      <c r="C50" s="47">
        <v>46115.0</v>
      </c>
      <c r="D50" s="52"/>
      <c r="E50" s="47">
        <v>46122.0</v>
      </c>
      <c r="F50" s="52"/>
      <c r="G50" s="47">
        <v>46129.0</v>
      </c>
      <c r="H50" s="52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7">
        <v>46109.0</v>
      </c>
      <c r="B51" s="52"/>
      <c r="C51" s="47">
        <v>46116.0</v>
      </c>
      <c r="D51" s="52"/>
      <c r="E51" s="47">
        <v>46123.0</v>
      </c>
      <c r="F51" s="52"/>
      <c r="G51" s="47">
        <v>46130.0</v>
      </c>
      <c r="H51" s="52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56"/>
      <c r="B52" s="57">
        <f>SUM(B46:B51)</f>
        <v>189000</v>
      </c>
      <c r="C52" s="56"/>
      <c r="D52" s="57">
        <f>SUM(D46:D51)</f>
        <v>189000</v>
      </c>
      <c r="E52" s="56"/>
      <c r="F52" s="57">
        <f>SUM(F46:F51)</f>
        <v>189000</v>
      </c>
      <c r="G52" s="56"/>
      <c r="H52" s="57">
        <f>SUM(H46:H51)</f>
        <v>189000</v>
      </c>
      <c r="I52" s="58">
        <v>4.0</v>
      </c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59" t="s">
        <v>40</v>
      </c>
      <c r="B53" s="60"/>
      <c r="C53" s="59" t="s">
        <v>40</v>
      </c>
      <c r="D53" s="60"/>
      <c r="E53" s="59" t="s">
        <v>40</v>
      </c>
      <c r="F53" s="60"/>
      <c r="G53" s="59" t="s">
        <v>40</v>
      </c>
      <c r="H53" s="60"/>
      <c r="I53" s="61">
        <v>1.0</v>
      </c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5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4" t="s">
        <v>38</v>
      </c>
      <c r="B55" s="44" t="s">
        <v>39</v>
      </c>
      <c r="C55" s="44" t="s">
        <v>38</v>
      </c>
      <c r="D55" s="44" t="s">
        <v>39</v>
      </c>
      <c r="E55" s="44" t="s">
        <v>38</v>
      </c>
      <c r="F55" s="44" t="s">
        <v>39</v>
      </c>
      <c r="G55" s="44" t="s">
        <v>38</v>
      </c>
      <c r="H55" s="44" t="s">
        <v>39</v>
      </c>
      <c r="I55" s="45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7">
        <v>46132.0</v>
      </c>
      <c r="B56" s="53">
        <v>189000.0</v>
      </c>
      <c r="C56" s="47">
        <v>46139.0</v>
      </c>
      <c r="D56" s="53">
        <v>189000.0</v>
      </c>
      <c r="E56" s="47">
        <v>46146.0</v>
      </c>
      <c r="F56" s="53">
        <v>189000.0</v>
      </c>
      <c r="G56" s="47">
        <v>46153.0</v>
      </c>
      <c r="H56" s="65">
        <v>190000.0</v>
      </c>
      <c r="I56" s="50">
        <f>B62+D62+F62+H62</f>
        <v>757000</v>
      </c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7">
        <v>46133.0</v>
      </c>
      <c r="B57" s="52"/>
      <c r="C57" s="47">
        <v>46140.0</v>
      </c>
      <c r="D57" s="64"/>
      <c r="E57" s="47">
        <v>46147.0</v>
      </c>
      <c r="F57" s="52"/>
      <c r="G57" s="47">
        <v>46154.0</v>
      </c>
      <c r="H57" s="52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7">
        <v>46134.0</v>
      </c>
      <c r="B58" s="52"/>
      <c r="C58" s="47">
        <v>46141.0</v>
      </c>
      <c r="D58" s="52"/>
      <c r="E58" s="47">
        <v>46148.0</v>
      </c>
      <c r="F58" s="52"/>
      <c r="G58" s="47">
        <v>46155.0</v>
      </c>
      <c r="H58" s="52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7">
        <v>46135.0</v>
      </c>
      <c r="B59" s="52"/>
      <c r="C59" s="47">
        <v>46142.0</v>
      </c>
      <c r="D59" s="49"/>
      <c r="E59" s="47">
        <v>46149.0</v>
      </c>
      <c r="F59" s="49"/>
      <c r="G59" s="47">
        <v>46156.0</v>
      </c>
      <c r="H59" s="49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7">
        <v>46136.0</v>
      </c>
      <c r="B60" s="52"/>
      <c r="C60" s="47">
        <v>46143.0</v>
      </c>
      <c r="D60" s="52"/>
      <c r="E60" s="47">
        <v>46150.0</v>
      </c>
      <c r="F60" s="52"/>
      <c r="G60" s="47">
        <v>46157.0</v>
      </c>
      <c r="H60" s="52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7">
        <v>46137.0</v>
      </c>
      <c r="B61" s="52"/>
      <c r="C61" s="47">
        <v>46144.0</v>
      </c>
      <c r="D61" s="52"/>
      <c r="E61" s="47">
        <v>46151.0</v>
      </c>
      <c r="F61" s="52"/>
      <c r="G61" s="47">
        <v>46158.0</v>
      </c>
      <c r="H61" s="52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56"/>
      <c r="B62" s="57">
        <f>SUM(B56:B61)</f>
        <v>189000</v>
      </c>
      <c r="C62" s="56"/>
      <c r="D62" s="57">
        <f>SUM(D56:D61)</f>
        <v>189000</v>
      </c>
      <c r="E62" s="56"/>
      <c r="F62" s="57">
        <f>SUM(F56:F61)</f>
        <v>189000</v>
      </c>
      <c r="G62" s="56"/>
      <c r="H62" s="57">
        <f>SUM(H56:H61)</f>
        <v>190000</v>
      </c>
      <c r="I62" s="58">
        <v>5.0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59" t="s">
        <v>40</v>
      </c>
      <c r="B63" s="60"/>
      <c r="C63" s="59" t="s">
        <v>40</v>
      </c>
      <c r="D63" s="60"/>
      <c r="E63" s="59" t="s">
        <v>40</v>
      </c>
      <c r="F63" s="60"/>
      <c r="G63" s="59" t="s">
        <v>40</v>
      </c>
      <c r="H63" s="60"/>
      <c r="I63" s="61">
        <v>1.0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5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4" t="s">
        <v>38</v>
      </c>
      <c r="B65" s="44" t="s">
        <v>39</v>
      </c>
      <c r="C65" s="44" t="s">
        <v>38</v>
      </c>
      <c r="D65" s="44" t="s">
        <v>39</v>
      </c>
      <c r="E65" s="44" t="s">
        <v>38</v>
      </c>
      <c r="F65" s="44" t="s">
        <v>39</v>
      </c>
      <c r="G65" s="44" t="s">
        <v>38</v>
      </c>
      <c r="H65" s="44" t="s">
        <v>39</v>
      </c>
      <c r="I65" s="45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7">
        <v>46160.0</v>
      </c>
      <c r="B66" s="65">
        <v>190000.0</v>
      </c>
      <c r="C66" s="47">
        <v>46167.0</v>
      </c>
      <c r="D66" s="49"/>
      <c r="E66" s="47">
        <v>46174.0</v>
      </c>
      <c r="F66" s="49"/>
      <c r="G66" s="47">
        <v>46181.0</v>
      </c>
      <c r="H66" s="49"/>
      <c r="I66" s="50">
        <f>B72+D72+F72+H72</f>
        <v>190000</v>
      </c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7">
        <v>46161.0</v>
      </c>
      <c r="B67" s="52"/>
      <c r="C67" s="47">
        <v>46168.0</v>
      </c>
      <c r="D67" s="64"/>
      <c r="E67" s="47">
        <v>46175.0</v>
      </c>
      <c r="F67" s="52"/>
      <c r="G67" s="47">
        <v>46182.0</v>
      </c>
      <c r="H67" s="52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7">
        <v>46162.0</v>
      </c>
      <c r="B68" s="52"/>
      <c r="C68" s="47">
        <v>46169.0</v>
      </c>
      <c r="D68" s="52"/>
      <c r="E68" s="47">
        <v>46176.0</v>
      </c>
      <c r="F68" s="52"/>
      <c r="G68" s="47">
        <v>46183.0</v>
      </c>
      <c r="H68" s="52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7">
        <v>46163.0</v>
      </c>
      <c r="B69" s="52"/>
      <c r="C69" s="47">
        <v>46170.0</v>
      </c>
      <c r="D69" s="49"/>
      <c r="E69" s="47">
        <v>46177.0</v>
      </c>
      <c r="F69" s="49"/>
      <c r="G69" s="47">
        <v>46184.0</v>
      </c>
      <c r="H69" s="49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7">
        <v>46164.0</v>
      </c>
      <c r="B70" s="52"/>
      <c r="C70" s="47">
        <v>46171.0</v>
      </c>
      <c r="D70" s="52"/>
      <c r="E70" s="47">
        <v>46178.0</v>
      </c>
      <c r="F70" s="52"/>
      <c r="G70" s="47">
        <v>46185.0</v>
      </c>
      <c r="H70" s="52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7">
        <v>46165.0</v>
      </c>
      <c r="B71" s="52"/>
      <c r="C71" s="47">
        <v>46172.0</v>
      </c>
      <c r="D71" s="52"/>
      <c r="E71" s="47">
        <v>46179.0</v>
      </c>
      <c r="F71" s="52"/>
      <c r="G71" s="47">
        <v>46186.0</v>
      </c>
      <c r="H71" s="52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56"/>
      <c r="B72" s="57">
        <f>SUM(B66:B71)</f>
        <v>190000</v>
      </c>
      <c r="C72" s="56"/>
      <c r="D72" s="57">
        <f>SUM(D66:D71)</f>
        <v>0</v>
      </c>
      <c r="E72" s="56"/>
      <c r="F72" s="57">
        <f>SUM(F66:F71)</f>
        <v>0</v>
      </c>
      <c r="G72" s="56"/>
      <c r="H72" s="57">
        <f>SUM(H66:H71)</f>
        <v>0</v>
      </c>
      <c r="I72" s="58">
        <v>6.0</v>
      </c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59" t="s">
        <v>40</v>
      </c>
      <c r="B73" s="60" t="s">
        <v>44</v>
      </c>
      <c r="C73" s="59" t="s">
        <v>40</v>
      </c>
      <c r="D73" s="60"/>
      <c r="E73" s="59" t="s">
        <v>40</v>
      </c>
      <c r="F73" s="60"/>
      <c r="G73" s="59" t="s">
        <v>40</v>
      </c>
      <c r="H73" s="60"/>
      <c r="I73" s="61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5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4" t="s">
        <v>38</v>
      </c>
      <c r="B75" s="44" t="s">
        <v>39</v>
      </c>
      <c r="C75" s="44" t="s">
        <v>38</v>
      </c>
      <c r="D75" s="44" t="s">
        <v>39</v>
      </c>
      <c r="E75" s="44" t="s">
        <v>38</v>
      </c>
      <c r="F75" s="44" t="s">
        <v>39</v>
      </c>
      <c r="G75" s="44" t="s">
        <v>38</v>
      </c>
      <c r="H75" s="44" t="s">
        <v>39</v>
      </c>
      <c r="I75" s="45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66"/>
      <c r="B76" s="49"/>
      <c r="C76" s="66"/>
      <c r="D76" s="49"/>
      <c r="E76" s="67"/>
      <c r="F76" s="49"/>
      <c r="G76" s="67"/>
      <c r="H76" s="49"/>
      <c r="I76" s="50">
        <f>B82+D82+F82+H82</f>
        <v>0</v>
      </c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66"/>
      <c r="B77" s="52"/>
      <c r="C77" s="66"/>
      <c r="D77" s="64"/>
      <c r="E77" s="67"/>
      <c r="F77" s="52"/>
      <c r="G77" s="67"/>
      <c r="H77" s="52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66"/>
      <c r="B78" s="52"/>
      <c r="C78" s="66"/>
      <c r="D78" s="52"/>
      <c r="E78" s="67"/>
      <c r="F78" s="52"/>
      <c r="G78" s="67"/>
      <c r="H78" s="52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66"/>
      <c r="B79" s="52"/>
      <c r="C79" s="66"/>
      <c r="D79" s="49"/>
      <c r="E79" s="67"/>
      <c r="F79" s="49"/>
      <c r="G79" s="67"/>
      <c r="H79" s="49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66"/>
      <c r="B80" s="52"/>
      <c r="C80" s="66"/>
      <c r="D80" s="52"/>
      <c r="E80" s="67"/>
      <c r="F80" s="52"/>
      <c r="G80" s="67"/>
      <c r="H80" s="52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66"/>
      <c r="B81" s="52"/>
      <c r="C81" s="66"/>
      <c r="D81" s="52"/>
      <c r="E81" s="67"/>
      <c r="F81" s="52"/>
      <c r="G81" s="67"/>
      <c r="H81" s="52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56"/>
      <c r="B82" s="57">
        <f>SUM(B76:B81)</f>
        <v>0</v>
      </c>
      <c r="C82" s="56"/>
      <c r="D82" s="57">
        <f>SUM(D76:D81)</f>
        <v>0</v>
      </c>
      <c r="E82" s="56"/>
      <c r="F82" s="57">
        <f>SUM(F76:F81)</f>
        <v>0</v>
      </c>
      <c r="G82" s="56"/>
      <c r="H82" s="57">
        <f>SUM(H76:H81)</f>
        <v>0</v>
      </c>
      <c r="I82" s="68">
        <v>7.0</v>
      </c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59" t="s">
        <v>40</v>
      </c>
      <c r="B83" s="60"/>
      <c r="C83" s="59" t="s">
        <v>40</v>
      </c>
      <c r="D83" s="60"/>
      <c r="E83" s="59" t="s">
        <v>40</v>
      </c>
      <c r="F83" s="60"/>
      <c r="G83" s="59" t="s">
        <v>40</v>
      </c>
      <c r="H83" s="60"/>
      <c r="I83" s="61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5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4" t="s">
        <v>38</v>
      </c>
      <c r="B85" s="44" t="s">
        <v>39</v>
      </c>
      <c r="C85" s="44" t="s">
        <v>38</v>
      </c>
      <c r="D85" s="44" t="s">
        <v>39</v>
      </c>
      <c r="E85" s="44" t="s">
        <v>38</v>
      </c>
      <c r="F85" s="44" t="s">
        <v>39</v>
      </c>
      <c r="G85" s="44" t="s">
        <v>38</v>
      </c>
      <c r="H85" s="44" t="s">
        <v>39</v>
      </c>
      <c r="I85" s="45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67"/>
      <c r="B86" s="49"/>
      <c r="C86" s="67"/>
      <c r="D86" s="49"/>
      <c r="E86" s="67"/>
      <c r="F86" s="49"/>
      <c r="G86" s="67"/>
      <c r="H86" s="49"/>
      <c r="I86" s="50">
        <f>B92+D92+F92+H92</f>
        <v>0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67"/>
      <c r="B87" s="52"/>
      <c r="C87" s="67"/>
      <c r="D87" s="64"/>
      <c r="E87" s="67"/>
      <c r="F87" s="52"/>
      <c r="G87" s="67"/>
      <c r="H87" s="52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67"/>
      <c r="B88" s="52"/>
      <c r="C88" s="67"/>
      <c r="D88" s="52"/>
      <c r="E88" s="67"/>
      <c r="F88" s="52"/>
      <c r="G88" s="67"/>
      <c r="H88" s="52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67"/>
      <c r="B89" s="52"/>
      <c r="C89" s="67"/>
      <c r="D89" s="49"/>
      <c r="E89" s="67"/>
      <c r="F89" s="49"/>
      <c r="G89" s="67"/>
      <c r="H89" s="49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67"/>
      <c r="B90" s="52"/>
      <c r="C90" s="67"/>
      <c r="D90" s="52"/>
      <c r="E90" s="67"/>
      <c r="F90" s="52"/>
      <c r="G90" s="67"/>
      <c r="H90" s="52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67"/>
      <c r="B91" s="52"/>
      <c r="C91" s="67"/>
      <c r="D91" s="52"/>
      <c r="E91" s="67"/>
      <c r="F91" s="52"/>
      <c r="G91" s="67"/>
      <c r="H91" s="52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56"/>
      <c r="B92" s="57">
        <f>SUM(B86:B91)</f>
        <v>0</v>
      </c>
      <c r="C92" s="56"/>
      <c r="D92" s="57">
        <f>SUM(D86:D91)</f>
        <v>0</v>
      </c>
      <c r="E92" s="56"/>
      <c r="F92" s="57">
        <f>SUM(F86:F91)</f>
        <v>0</v>
      </c>
      <c r="G92" s="56"/>
      <c r="H92" s="57">
        <f>SUM(H86:H91)</f>
        <v>0</v>
      </c>
      <c r="I92" s="68">
        <v>8.0</v>
      </c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5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4" t="s">
        <v>38</v>
      </c>
      <c r="B94" s="44" t="s">
        <v>39</v>
      </c>
      <c r="C94" s="44" t="s">
        <v>38</v>
      </c>
      <c r="D94" s="44" t="s">
        <v>39</v>
      </c>
      <c r="E94" s="44" t="s">
        <v>38</v>
      </c>
      <c r="F94" s="44" t="s">
        <v>39</v>
      </c>
      <c r="G94" s="44" t="s">
        <v>38</v>
      </c>
      <c r="H94" s="44" t="s">
        <v>39</v>
      </c>
      <c r="I94" s="45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67"/>
      <c r="B95" s="49"/>
      <c r="C95" s="67"/>
      <c r="D95" s="49"/>
      <c r="E95" s="67"/>
      <c r="F95" s="49"/>
      <c r="G95" s="67"/>
      <c r="H95" s="49"/>
      <c r="I95" s="50">
        <f>B101+D101+F101+H101</f>
        <v>0</v>
      </c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67"/>
      <c r="B96" s="52"/>
      <c r="C96" s="67"/>
      <c r="D96" s="64"/>
      <c r="E96" s="67"/>
      <c r="F96" s="52"/>
      <c r="G96" s="67"/>
      <c r="H96" s="52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67"/>
      <c r="B97" s="52"/>
      <c r="C97" s="67"/>
      <c r="D97" s="52"/>
      <c r="E97" s="67"/>
      <c r="F97" s="52"/>
      <c r="G97" s="67"/>
      <c r="H97" s="52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67"/>
      <c r="B98" s="52"/>
      <c r="C98" s="67"/>
      <c r="D98" s="49"/>
      <c r="E98" s="67"/>
      <c r="F98" s="49"/>
      <c r="G98" s="67"/>
      <c r="H98" s="49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67"/>
      <c r="B99" s="52"/>
      <c r="C99" s="67"/>
      <c r="D99" s="52"/>
      <c r="E99" s="67"/>
      <c r="F99" s="52"/>
      <c r="G99" s="67"/>
      <c r="H99" s="52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67"/>
      <c r="B100" s="52"/>
      <c r="C100" s="67"/>
      <c r="D100" s="52"/>
      <c r="E100" s="67"/>
      <c r="F100" s="52"/>
      <c r="G100" s="67"/>
      <c r="H100" s="52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56"/>
      <c r="B101" s="57">
        <f>SUM(B95:B100)</f>
        <v>0</v>
      </c>
      <c r="C101" s="56"/>
      <c r="D101" s="57">
        <f>SUM(D95:D100)</f>
        <v>0</v>
      </c>
      <c r="E101" s="56"/>
      <c r="F101" s="57">
        <f>SUM(F95:F100)</f>
        <v>0</v>
      </c>
      <c r="G101" s="56"/>
      <c r="H101" s="57">
        <f>SUM(H95:H100)</f>
        <v>0</v>
      </c>
      <c r="I101" s="68">
        <v>9.0</v>
      </c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</row>
  </sheetData>
  <mergeCells count="28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I36:I41"/>
    <mergeCell ref="I46:I51"/>
    <mergeCell ref="I56:I61"/>
    <mergeCell ref="I66:I71"/>
    <mergeCell ref="I76:I81"/>
    <mergeCell ref="I86:I91"/>
    <mergeCell ref="I95:I100"/>
    <mergeCell ref="A54:I54"/>
    <mergeCell ref="A64:I64"/>
    <mergeCell ref="A74:I74"/>
    <mergeCell ref="A84:I84"/>
    <mergeCell ref="A93:I93"/>
    <mergeCell ref="E10:F11"/>
    <mergeCell ref="G10:G11"/>
    <mergeCell ref="I16:I21"/>
    <mergeCell ref="A24:I24"/>
    <mergeCell ref="I26:I31"/>
    <mergeCell ref="A34:I34"/>
    <mergeCell ref="A44:I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25.13"/>
    <col customWidth="1" min="3" max="3" width="21.5"/>
    <col customWidth="1" min="4" max="4" width="28.0"/>
    <col customWidth="1" min="5" max="5" width="19.38"/>
    <col customWidth="1" min="6" max="6" width="25.0"/>
  </cols>
  <sheetData>
    <row r="1">
      <c r="A1" s="71" t="s">
        <v>37</v>
      </c>
      <c r="B1" s="72"/>
      <c r="C1" s="72"/>
      <c r="D1" s="72"/>
      <c r="E1" s="72"/>
      <c r="F1" s="73"/>
    </row>
    <row r="2">
      <c r="A2" s="74"/>
      <c r="B2" s="11"/>
      <c r="C2" s="11"/>
      <c r="D2" s="11"/>
      <c r="E2" s="11"/>
      <c r="F2" s="75"/>
    </row>
    <row r="3">
      <c r="A3" s="76" t="s">
        <v>45</v>
      </c>
      <c r="B3" s="77"/>
      <c r="C3" s="78" t="str">
        <f>PAGOS!A7</f>
        <v>JESUS ANDRES</v>
      </c>
      <c r="D3" s="79"/>
      <c r="E3" s="79"/>
      <c r="F3" s="80"/>
    </row>
    <row r="4">
      <c r="A4" s="81" t="s">
        <v>46</v>
      </c>
      <c r="B4" s="82">
        <f>PAGOS!A16</f>
        <v>46020</v>
      </c>
      <c r="C4" s="83"/>
      <c r="D4" s="84"/>
      <c r="E4" s="84"/>
      <c r="F4" s="85"/>
    </row>
    <row r="5">
      <c r="A5" s="81" t="s">
        <v>47</v>
      </c>
      <c r="B5" s="86">
        <f>PAGOS!G2</f>
        <v>6000000</v>
      </c>
      <c r="C5" s="87" t="s">
        <v>12</v>
      </c>
    </row>
    <row r="6">
      <c r="A6" s="81" t="s">
        <v>48</v>
      </c>
      <c r="B6" s="86">
        <f>PAGOS!H2</f>
        <v>800000</v>
      </c>
    </row>
    <row r="7">
      <c r="A7" s="88" t="s">
        <v>49</v>
      </c>
      <c r="B7" s="86">
        <f>PAGOS!A5</f>
        <v>5200000</v>
      </c>
    </row>
    <row r="8">
      <c r="A8" s="89" t="s">
        <v>50</v>
      </c>
      <c r="B8" s="90">
        <f>PAGOS!C5</f>
        <v>13600000</v>
      </c>
    </row>
    <row r="9">
      <c r="A9" s="81" t="s">
        <v>51</v>
      </c>
      <c r="B9" s="91">
        <f>PAGOS!C5</f>
        <v>13600000</v>
      </c>
    </row>
    <row r="10">
      <c r="A10" s="92" t="s">
        <v>31</v>
      </c>
      <c r="B10" s="93">
        <v>380000.0</v>
      </c>
      <c r="C10" s="94"/>
    </row>
    <row r="11">
      <c r="A11" s="95"/>
      <c r="B11" s="96"/>
    </row>
    <row r="12">
      <c r="A12" s="92" t="s">
        <v>26</v>
      </c>
      <c r="B12" s="97">
        <v>280000.0</v>
      </c>
    </row>
    <row r="13">
      <c r="A13" s="98" t="s">
        <v>52</v>
      </c>
      <c r="B13" s="99">
        <v>25000.0</v>
      </c>
      <c r="C13" s="100"/>
    </row>
    <row r="14">
      <c r="A14" s="98" t="s">
        <v>53</v>
      </c>
      <c r="B14" s="101"/>
    </row>
    <row r="15">
      <c r="A15" s="102" t="s">
        <v>54</v>
      </c>
      <c r="B15" s="103">
        <v>26.0</v>
      </c>
    </row>
    <row r="16">
      <c r="A16" s="104" t="s">
        <v>55</v>
      </c>
      <c r="B16" s="105"/>
    </row>
    <row r="17">
      <c r="A17" s="106" t="s">
        <v>56</v>
      </c>
      <c r="B17" s="107" t="s">
        <v>57</v>
      </c>
      <c r="C17" s="107" t="s">
        <v>58</v>
      </c>
      <c r="D17" s="107" t="s">
        <v>59</v>
      </c>
      <c r="E17" s="107" t="s">
        <v>60</v>
      </c>
      <c r="F17" s="26"/>
    </row>
    <row r="18">
      <c r="A18" s="108">
        <f>PAGOS!A10</f>
        <v>3971000</v>
      </c>
      <c r="B18" s="109">
        <f>PAGOS!C10</f>
        <v>9629000</v>
      </c>
      <c r="C18" s="110">
        <f>PAGOS!E10</f>
        <v>9629000</v>
      </c>
      <c r="D18" s="111"/>
      <c r="E18" s="112"/>
      <c r="F18" s="112"/>
    </row>
    <row r="19">
      <c r="D19" s="111"/>
      <c r="E19" s="112"/>
      <c r="F19" s="112"/>
    </row>
    <row r="20">
      <c r="A20" s="112"/>
      <c r="B20" s="112"/>
      <c r="C20" s="112"/>
      <c r="D20" s="112"/>
      <c r="E20" s="112"/>
      <c r="F20" s="112"/>
    </row>
    <row r="21">
      <c r="A21" s="112"/>
      <c r="B21" s="112"/>
      <c r="C21" s="112"/>
      <c r="D21" s="112"/>
      <c r="E21" s="112"/>
      <c r="F21" s="112"/>
    </row>
    <row r="22">
      <c r="A22" s="112"/>
      <c r="B22" s="112"/>
      <c r="C22" s="112"/>
      <c r="D22" s="112"/>
      <c r="E22" s="112"/>
      <c r="F22" s="112"/>
    </row>
  </sheetData>
  <mergeCells count="9">
    <mergeCell ref="B18:B19"/>
    <mergeCell ref="C18:C19"/>
    <mergeCell ref="A1:F1"/>
    <mergeCell ref="A3:B3"/>
    <mergeCell ref="C3:F4"/>
    <mergeCell ref="C5:F9"/>
    <mergeCell ref="C10:F12"/>
    <mergeCell ref="C13:F16"/>
    <mergeCell ref="A18:A19"/>
  </mergeCells>
  <drawing r:id="rId1"/>
</worksheet>
</file>