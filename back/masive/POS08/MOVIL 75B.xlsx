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<sst xmlns="http://schemas.openxmlformats.org/spreadsheetml/2006/main" count="65" uniqueCount="42">
  <si>
    <t>PAGOS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</si>
  <si>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</si>
  <si>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</si>
  <si>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</si>
  <si>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</si>
  <si>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</si>
  <si>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</si>
  <si>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</si>
  <si>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A219782G</t>
  </si>
  <si>
    <t>BRS 150</t>
  </si>
  <si>
    <t>BERA</t>
  </si>
  <si>
    <t>DRS34I</t>
  </si>
  <si>
    <t>75B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</si>
  <si>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</si>
  <si>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</si>
  <si>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</si>
  <si>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</si>
  <si>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</si>
  <si>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</si>
  <si>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</si>
  <si>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</si>
  <si>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</si>
  <si>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APELLIDOS</t>
  </si>
  <si>
    <t>PPT</t>
  </si>
  <si>
    <t xml:space="preserve">NACIONALIDAD </t>
  </si>
  <si>
    <t>CELULAR</t>
  </si>
  <si>
    <t>SOAT</t>
  </si>
  <si>
    <t>Traspaso de propiedad</t>
  </si>
  <si>
    <t xml:space="preserve">DEUDA DE SEMANA </t>
  </si>
  <si>
    <t>LEONAR OSWALDO</t>
  </si>
  <si>
    <t>RODRIGUEZ GONZALEZ</t>
  </si>
  <si>
    <t>VENEZOLANO</t>
  </si>
  <si>
    <t>310 8298025</t>
  </si>
  <si>
    <t>ACTIVO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</si>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</sst>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 $]#,##0"/>
    <numFmt numFmtId="165" formatCode="[$$]#,##0.00"/>
    <numFmt numFmtId="166" formatCode="dd/mm/yyyy"/>
  </numFmts>
  <fonts count="25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1.0"/>
      <color theme="1"/>
      <name val="Nunito"/>
    </font>
    <font>
      <b/>
      <sz val="11.0"/>
      <color theme="1"/>
      <name val="Arial"/>
    </font>
    <font>
      <b/>
      <sz val="12.0"/>
      <color rgb="FFFFFFFF"/>
      <name val="Nunito"/>
    </font>
    <font>
      <b/>
      <sz val="13.0"/>
      <color rgb="FF000000"/>
      <name val="Nunito"/>
    </font>
    <font>
      <b/>
      <sz val="13.0"/>
      <color rgb="FF000000"/>
      <name val="Arial"/>
    </font>
    <font>
      <b/>
      <sz val="11.0"/>
      <color rgb="FFFFFFFF"/>
      <name val="Arial"/>
    </font>
    <font>
      <b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color theme="1"/>
      <name val="Arial"/>
    </font>
    <font>
      <b/>
      <sz val="12.0"/>
      <color theme="1"/>
      <name val="Arial"/>
    </font>
    <font>
      <sz val="25.0"/>
      <color theme="1"/>
      <name val="Arial"/>
    </font>
    <font>
      <color rgb="FFFFFFFF"/>
      <name val="Arial"/>
    </font>
    <font/>
    <font>
      <b/>
      <sz val="25.0"/>
      <color rgb="FFFFFFFF"/>
      <name val="Arial"/>
    </font>
    <font>
      <b/>
      <sz val="24.0"/>
      <color rgb="FFFFFFFF"/>
      <name val="Arial"/>
    </font>
    <font>
      <sz val="23.0"/>
      <color theme="1"/>
      <name val="Arial"/>
    </font>
    <font>
      <b/>
      <sz val="25.0"/>
      <color theme="1"/>
      <name val="Arial"/>
    </font>
    <font>
      <b/>
      <sz val="23.0"/>
      <color rgb="FFFFFFFF"/>
      <name val="Arial"/>
    </font>
    <font>
      <b/>
      <sz val="13.0"/>
      <color rgb="FFFFFFFF"/>
      <name val="Arial"/>
    </font>
    <font>
      <b/>
      <color rgb="FF46BDC6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EA4335"/>
        <bgColor rgb="FFEA4335"/>
      </patternFill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134F5C"/>
        <bgColor rgb="FF134F5C"/>
      </patternFill>
    </fill>
    <fill>
      <patternFill patternType="solid">
        <fgColor rgb="FFFF6D01"/>
        <bgColor rgb="FFFF6D01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readingOrder="0" vertical="bottom"/>
    </xf>
    <xf borderId="1" fillId="3" fontId="4" numFmtId="1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readingOrder="0" vertical="bottom"/>
    </xf>
    <xf borderId="1" fillId="3" fontId="4" numFmtId="49" xfId="0" applyAlignment="1" applyBorder="1" applyFont="1" applyNumberFormat="1">
      <alignment horizontal="center" readingOrder="0" vertical="bottom"/>
    </xf>
    <xf borderId="1" fillId="3" fontId="4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6" numFmtId="0" xfId="0" applyAlignment="1" applyFill="1" applyFont="1">
      <alignment horizontal="center" shrinkToFit="0" vertical="bottom" wrapText="1"/>
    </xf>
    <xf borderId="0" fillId="5" fontId="6" numFmtId="0" xfId="0" applyAlignment="1" applyFont="1">
      <alignment horizontal="center" vertical="bottom"/>
    </xf>
    <xf borderId="1" fillId="3" fontId="7" numFmtId="165" xfId="0" applyAlignment="1" applyBorder="1" applyFont="1" applyNumberFormat="1">
      <alignment horizontal="center" vertical="bottom"/>
    </xf>
    <xf borderId="1" fillId="3" fontId="7" numFmtId="165" xfId="0" applyAlignment="1" applyBorder="1" applyFont="1" applyNumberFormat="1">
      <alignment horizontal="center" readingOrder="0" vertical="bottom"/>
    </xf>
    <xf borderId="1" fillId="3" fontId="7" numFmtId="4" xfId="0" applyAlignment="1" applyBorder="1" applyFont="1" applyNumberFormat="1">
      <alignment horizontal="center" vertical="bottom"/>
    </xf>
    <xf borderId="1" fillId="3" fontId="7" numFmtId="1" xfId="0" applyAlignment="1" applyBorder="1" applyFont="1" applyNumberFormat="1">
      <alignment horizontal="center" readingOrder="0" vertical="bottom"/>
    </xf>
    <xf borderId="2" fillId="3" fontId="7" numFmtId="165" xfId="0" applyAlignment="1" applyBorder="1" applyFont="1" applyNumberFormat="1">
      <alignment horizontal="center" vertical="bottom"/>
    </xf>
    <xf borderId="2" fillId="3" fontId="8" numFmtId="165" xfId="0" applyAlignment="1" applyBorder="1" applyFont="1" applyNumberFormat="1">
      <alignment horizontal="center" vertical="bottom"/>
    </xf>
    <xf borderId="2" fillId="6" fontId="7" numFmtId="165" xfId="0" applyAlignment="1" applyBorder="1" applyFill="1" applyFont="1" applyNumberForma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7" fontId="10" numFmtId="0" xfId="0" applyAlignment="1" applyFont="1">
      <alignment horizontal="center" vertical="bottom"/>
    </xf>
    <xf borderId="0" fillId="7" fontId="9" numFmtId="0" xfId="0" applyAlignment="1" applyFont="1">
      <alignment horizontal="center" readingOrder="0" vertical="bottom"/>
    </xf>
    <xf borderId="0" fillId="8" fontId="11" numFmtId="0" xfId="0" applyAlignment="1" applyFill="1" applyFont="1">
      <alignment horizontal="center" shrinkToFit="0" vertical="bottom" wrapText="1"/>
    </xf>
    <xf borderId="0" fillId="8" fontId="12" numFmtId="0" xfId="0" applyAlignment="1" applyFont="1">
      <alignment horizontal="center" shrinkToFit="0" vertical="bottom" wrapText="1"/>
    </xf>
    <xf borderId="0" fillId="9" fontId="13" numFmtId="0" xfId="0" applyAlignment="1" applyFill="1" applyFont="1">
      <alignment horizontal="center" readingOrder="0" vertical="bottom"/>
    </xf>
    <xf borderId="0" fillId="9" fontId="14" numFmtId="3" xfId="0" applyAlignment="1" applyFont="1" applyNumberFormat="1">
      <alignment horizontal="center" readingOrder="0" vertical="bottom"/>
    </xf>
    <xf borderId="0" fillId="10" fontId="2" numFmtId="164" xfId="0" applyAlignment="1" applyFill="1" applyFont="1" applyNumberFormat="1">
      <alignment vertical="bottom"/>
    </xf>
    <xf borderId="0" fillId="11" fontId="2" numFmtId="0" xfId="0" applyAlignment="1" applyFill="1" applyFont="1">
      <alignment vertical="bottom"/>
    </xf>
    <xf borderId="3" fillId="11" fontId="2" numFmtId="0" xfId="0" applyAlignment="1" applyBorder="1" applyFont="1">
      <alignment vertical="bottom"/>
    </xf>
    <xf borderId="3" fillId="11" fontId="2" numFmtId="164" xfId="0" applyAlignment="1" applyBorder="1" applyFont="1" applyNumberFormat="1">
      <alignment vertical="bottom"/>
    </xf>
    <xf borderId="4" fillId="11" fontId="15" numFmtId="0" xfId="0" applyAlignment="1" applyBorder="1" applyFont="1">
      <alignment horizontal="center" vertical="bottom"/>
    </xf>
    <xf borderId="0" fillId="5" fontId="10" numFmtId="0" xfId="0" applyAlignment="1" applyFont="1">
      <alignment horizontal="center" vertical="bottom"/>
    </xf>
    <xf borderId="0" fillId="5" fontId="16" numFmtId="0" xfId="0" applyAlignment="1" applyFont="1">
      <alignment horizontal="center" vertical="bottom"/>
    </xf>
    <xf borderId="5" fillId="0" fontId="17" numFmtId="0" xfId="0" applyBorder="1" applyFont="1"/>
    <xf borderId="0" fillId="11" fontId="15" numFmtId="3" xfId="0" applyAlignment="1" applyFont="1" applyNumberFormat="1">
      <alignment horizontal="center" vertical="bottom"/>
    </xf>
    <xf borderId="0" fillId="12" fontId="18" numFmtId="4" xfId="0" applyAlignment="1" applyFill="1" applyFont="1" applyNumberFormat="1">
      <alignment horizontal="center" vertical="bottom"/>
    </xf>
    <xf borderId="0" fillId="10" fontId="19" numFmtId="4" xfId="0" applyAlignment="1" applyFont="1" applyNumberFormat="1">
      <alignment horizontal="center" vertical="bottom"/>
    </xf>
    <xf borderId="0" fillId="13" fontId="2" numFmtId="164" xfId="0" applyAlignment="1" applyFill="1" applyFont="1" applyNumberFormat="1">
      <alignment vertical="bottom"/>
    </xf>
    <xf borderId="5" fillId="11" fontId="20" numFmtId="0" xfId="0" applyAlignment="1" applyBorder="1" applyFont="1">
      <alignment horizontal="center" vertical="bottom"/>
    </xf>
    <xf borderId="6" fillId="0" fontId="17" numFmtId="0" xfId="0" applyBorder="1" applyFont="1"/>
    <xf borderId="0" fillId="14" fontId="10" numFmtId="0" xfId="0" applyAlignment="1" applyFill="1" applyFont="1">
      <alignment vertical="bottom"/>
    </xf>
    <xf borderId="7" fillId="14" fontId="2" numFmtId="0" xfId="0" applyAlignment="1" applyBorder="1" applyFont="1">
      <alignment vertical="bottom"/>
    </xf>
    <xf borderId="8" fillId="14" fontId="2" numFmtId="0" xfId="0" applyAlignment="1" applyBorder="1" applyFont="1">
      <alignment vertical="bottom"/>
    </xf>
    <xf borderId="0" fillId="14" fontId="2" numFmtId="0" xfId="0" applyAlignment="1" applyFont="1">
      <alignment vertical="bottom"/>
    </xf>
    <xf borderId="0" fillId="15" fontId="2" numFmtId="166" xfId="0" applyAlignment="1" applyFill="1" applyFont="1" applyNumberFormat="1">
      <alignment vertical="bottom"/>
    </xf>
    <xf borderId="0" fillId="16" fontId="10" numFmtId="0" xfId="0" applyAlignment="1" applyFill="1" applyFont="1">
      <alignment horizontal="center" vertical="bottom"/>
    </xf>
    <xf borderId="0" fillId="16" fontId="2" numFmtId="0" xfId="0" applyAlignment="1" applyFont="1">
      <alignment vertical="bottom"/>
    </xf>
    <xf borderId="0" fillId="11" fontId="13" numFmtId="166" xfId="0" applyAlignment="1" applyFont="1" applyNumberFormat="1">
      <alignment horizontal="center" readingOrder="0" vertical="bottom"/>
    </xf>
    <xf borderId="0" fillId="15" fontId="21" numFmtId="164" xfId="0" applyAlignment="1" applyFont="1" applyNumberFormat="1">
      <alignment horizontal="center" readingOrder="0" textRotation="45" vertical="bottom"/>
    </xf>
    <xf borderId="0" fillId="15" fontId="2" numFmtId="164" xfId="0" applyAlignment="1" applyFont="1" applyNumberFormat="1">
      <alignment vertical="bottom"/>
    </xf>
    <xf borderId="0" fillId="11" fontId="22" numFmtId="164" xfId="0" applyAlignment="1" applyFont="1" applyNumberFormat="1">
      <alignment horizontal="center" vertical="bottom"/>
    </xf>
    <xf borderId="0" fillId="4" fontId="23" numFmtId="164" xfId="0" applyAlignment="1" applyFont="1" applyNumberFormat="1">
      <alignment horizontal="center" vertical="bottom"/>
    </xf>
    <xf borderId="0" fillId="4" fontId="23" numFmtId="0" xfId="0" applyAlignment="1" applyFont="1">
      <alignment horizontal="center" vertical="bottom"/>
    </xf>
    <xf borderId="0" fillId="11" fontId="2" numFmtId="0" xfId="0" applyAlignment="1" applyFont="1">
      <alignment horizontal="center" vertical="bottom"/>
    </xf>
    <xf borderId="0" fillId="17" fontId="2" numFmtId="0" xfId="0" applyAlignment="1" applyFill="1" applyFont="1">
      <alignment vertical="bottom"/>
    </xf>
    <xf borderId="0" fillId="11" fontId="24" numFmtId="0" xfId="0" applyAlignment="1" applyFont="1">
      <alignment horizontal="center" vertical="bottom"/>
    </xf>
    <xf borderId="0" fillId="4" fontId="2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1524000</xdr:colOff>
      <xdr:row>0</xdr:row>
      <xdr:rowOff>0</xdr:rowOff>
    </xdr:from>
    <xdr:ext cx="1895475" cy="2743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18.0"/>
    <col customWidth="1" min="2" max="2" width="21.25"/>
    <col customWidth="1" min="3" max="3" width="18.75"/>
    <col customWidth="1" min="4" max="4" width="17.5"/>
    <col customWidth="1" min="5" max="5" width="17.0"/>
    <col customWidth="1" min="6" max="6" width="17.5"/>
    <col customWidth="1" min="7" max="7" width="18.38"/>
    <col customWidth="1" min="8" max="8" width="20.13"/>
    <col customWidth="1" min="9" max="9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2027.0</v>
      </c>
      <c r="D2" s="7" t="s">
        <v>10</v>
      </c>
      <c r="E2" s="8" t="s">
        <v>11</v>
      </c>
      <c r="F2" s="9" t="s">
        <v>12</v>
      </c>
      <c r="G2" s="10">
        <v>6000000.0</v>
      </c>
      <c r="H2" s="10">
        <v>800000.0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/>
      <c r="B3" s="11"/>
      <c r="C3" s="11"/>
      <c r="D3" s="11"/>
      <c r="E3" s="11"/>
      <c r="F3" s="11"/>
      <c r="G3" s="11"/>
      <c r="H3" s="1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>
        <f>G2-H2</f>
        <v>5200000</v>
      </c>
      <c r="B5" s="15">
        <v>2.9404</v>
      </c>
      <c r="C5" s="16">
        <f>A5*B5</f>
        <v>15290080</v>
      </c>
      <c r="D5" s="17">
        <v>18.0</v>
      </c>
      <c r="E5" s="18">
        <f>C5/D5</f>
        <v>849448.8889</v>
      </c>
      <c r="F5" s="19">
        <f>E5/2</f>
        <v>424724.4444</v>
      </c>
      <c r="G5" s="20">
        <f>E5/4</f>
        <v>212362.2222</v>
      </c>
      <c r="H5" s="18">
        <f>G5/6</f>
        <v>35393.7037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1" t="s">
        <v>21</v>
      </c>
      <c r="B6" s="22" t="s">
        <v>22</v>
      </c>
      <c r="C6" s="23" t="s">
        <v>23</v>
      </c>
      <c r="D6" s="21" t="s">
        <v>24</v>
      </c>
      <c r="E6" s="23" t="s">
        <v>25</v>
      </c>
      <c r="F6" s="24" t="s">
        <v>26</v>
      </c>
      <c r="G6" s="25" t="s">
        <v>27</v>
      </c>
      <c r="H6" s="25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6" t="s">
        <v>29</v>
      </c>
      <c r="B7" s="26" t="s">
        <v>30</v>
      </c>
      <c r="C7" s="27">
        <v>1128106.0</v>
      </c>
      <c r="D7" s="26" t="s">
        <v>31</v>
      </c>
      <c r="E7" s="26" t="s">
        <v>32</v>
      </c>
      <c r="F7" s="26" t="s">
        <v>33</v>
      </c>
      <c r="G7" s="26" t="s">
        <v>33</v>
      </c>
      <c r="H7" s="2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9"/>
      <c r="B8" s="29"/>
      <c r="C8" s="29"/>
      <c r="D8" s="29"/>
      <c r="E8" s="30"/>
      <c r="F8" s="31"/>
      <c r="G8" s="3"/>
      <c r="H8" s="32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3" t="s">
        <v>34</v>
      </c>
      <c r="C9" s="34" t="s">
        <v>35</v>
      </c>
      <c r="E9" s="34" t="s">
        <v>36</v>
      </c>
      <c r="G9" s="34" t="s">
        <v>37</v>
      </c>
      <c r="H9" s="3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6">
        <f>I16+I26</f>
        <v>212500</v>
      </c>
      <c r="C10" s="37">
        <f>C5-A10</f>
        <v>15077580</v>
      </c>
      <c r="E10" s="38">
        <f>C10+G10</f>
        <v>15077580</v>
      </c>
      <c r="G10" s="39"/>
      <c r="H10" s="40">
        <f>I23+I33</f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2" t="s">
        <v>38</v>
      </c>
      <c r="E12" s="43"/>
      <c r="F12" s="44"/>
      <c r="G12" s="44"/>
      <c r="H12" s="4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/>
      <c r="J14" s="46"/>
      <c r="K14" s="46"/>
      <c r="L14" s="46"/>
      <c r="M14" s="46"/>
      <c r="N14" s="46"/>
      <c r="O14" s="46"/>
      <c r="P14" s="46"/>
      <c r="Q14" s="46"/>
      <c r="R14" s="46"/>
      <c r="S14" s="3"/>
      <c r="T14" s="3"/>
      <c r="U14" s="3"/>
      <c r="V14" s="3"/>
      <c r="W14" s="3"/>
      <c r="X14" s="3"/>
      <c r="Y14" s="3"/>
      <c r="Z14" s="3"/>
    </row>
    <row r="15">
      <c r="A15" s="47" t="s">
        <v>39</v>
      </c>
      <c r="B15" s="47" t="s">
        <v>40</v>
      </c>
      <c r="C15" s="47" t="s">
        <v>39</v>
      </c>
      <c r="D15" s="47" t="s">
        <v>40</v>
      </c>
      <c r="E15" s="47" t="s">
        <v>39</v>
      </c>
      <c r="F15" s="47" t="s">
        <v>40</v>
      </c>
      <c r="G15" s="47" t="s">
        <v>39</v>
      </c>
      <c r="H15" s="47" t="s">
        <v>40</v>
      </c>
      <c r="I15" s="48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9">
        <v>46167.0</v>
      </c>
      <c r="B16" s="50">
        <v>212500.0</v>
      </c>
      <c r="C16" s="49">
        <v>46174.0</v>
      </c>
      <c r="D16" s="51"/>
      <c r="E16" s="49">
        <v>46181.0</v>
      </c>
      <c r="F16" s="51"/>
      <c r="G16" s="49">
        <v>46188.0</v>
      </c>
      <c r="H16" s="51"/>
      <c r="I16" s="52">
        <f>B22+D22+F22+H22</f>
        <v>212500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9">
        <v>46168.0</v>
      </c>
      <c r="C17" s="49">
        <v>46175.0</v>
      </c>
      <c r="E17" s="49">
        <v>46182.0</v>
      </c>
      <c r="G17" s="49">
        <v>46189.0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9">
        <v>46169.0</v>
      </c>
      <c r="C18" s="49">
        <v>46176.0</v>
      </c>
      <c r="E18" s="49">
        <v>46183.0</v>
      </c>
      <c r="G18" s="49">
        <v>46190.0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9">
        <v>46170.0</v>
      </c>
      <c r="C19" s="49">
        <v>46177.0</v>
      </c>
      <c r="E19" s="49">
        <v>46184.0</v>
      </c>
      <c r="G19" s="49">
        <v>46191.0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9">
        <v>46171.0</v>
      </c>
      <c r="C20" s="49">
        <v>46178.0</v>
      </c>
      <c r="E20" s="49">
        <v>46185.0</v>
      </c>
      <c r="G20" s="49">
        <v>46192.0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9">
        <v>46172.0</v>
      </c>
      <c r="C21" s="49">
        <v>46179.0</v>
      </c>
      <c r="E21" s="49">
        <v>46186.0</v>
      </c>
      <c r="G21" s="49">
        <v>46193.0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/>
      <c r="B22" s="53">
        <f>SUM(B16:B21)</f>
        <v>212500</v>
      </c>
      <c r="C22" s="11"/>
      <c r="D22" s="53">
        <f>SUM(D16:D21)</f>
        <v>0</v>
      </c>
      <c r="E22" s="11"/>
      <c r="F22" s="53">
        <f>SUM(F16:F21)</f>
        <v>0</v>
      </c>
      <c r="G22" s="11"/>
      <c r="H22" s="53">
        <f>SUM(H16:H21)</f>
        <v>0</v>
      </c>
      <c r="I22" s="54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5" t="s">
        <v>41</v>
      </c>
      <c r="B23" s="56"/>
      <c r="C23" s="55" t="s">
        <v>41</v>
      </c>
      <c r="D23" s="56"/>
      <c r="E23" s="55" t="s">
        <v>41</v>
      </c>
      <c r="F23" s="56"/>
      <c r="G23" s="55" t="s">
        <v>41</v>
      </c>
      <c r="H23" s="56"/>
      <c r="I23" s="57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7" t="s">
        <v>39</v>
      </c>
      <c r="B25" s="47" t="s">
        <v>40</v>
      </c>
      <c r="C25" s="47" t="s">
        <v>39</v>
      </c>
      <c r="D25" s="47" t="s">
        <v>40</v>
      </c>
      <c r="E25" s="47" t="s">
        <v>39</v>
      </c>
      <c r="F25" s="47" t="s">
        <v>40</v>
      </c>
      <c r="G25" s="47" t="s">
        <v>39</v>
      </c>
      <c r="H25" s="47" t="s">
        <v>40</v>
      </c>
      <c r="I25" s="48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9">
        <v>46195.0</v>
      </c>
      <c r="B26" s="51"/>
      <c r="C26" s="49">
        <v>46202.0</v>
      </c>
      <c r="D26" s="51"/>
      <c r="E26" s="49">
        <v>46209.0</v>
      </c>
      <c r="F26" s="51"/>
      <c r="G26" s="49">
        <v>46216.0</v>
      </c>
      <c r="H26" s="51"/>
      <c r="I26" s="52">
        <f>B32+D32+F32+H32</f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9">
        <v>46196.0</v>
      </c>
      <c r="C27" s="49">
        <v>46203.0</v>
      </c>
      <c r="E27" s="49">
        <v>46210.0</v>
      </c>
      <c r="G27" s="49">
        <v>46217.0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9">
        <v>46197.0</v>
      </c>
      <c r="C28" s="49">
        <v>46204.0</v>
      </c>
      <c r="E28" s="49">
        <v>46211.0</v>
      </c>
      <c r="G28" s="49">
        <v>46218.0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9">
        <v>46198.0</v>
      </c>
      <c r="C29" s="49">
        <v>46205.0</v>
      </c>
      <c r="E29" s="49">
        <v>46212.0</v>
      </c>
      <c r="G29" s="49">
        <v>46219.0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9">
        <v>46199.0</v>
      </c>
      <c r="C30" s="49">
        <v>46206.0</v>
      </c>
      <c r="E30" s="49">
        <v>46213.0</v>
      </c>
      <c r="G30" s="49">
        <v>46220.0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9">
        <v>46200.0</v>
      </c>
      <c r="C31" s="49">
        <v>46207.0</v>
      </c>
      <c r="E31" s="49">
        <v>46214.0</v>
      </c>
      <c r="G31" s="49">
        <v>46221.0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/>
      <c r="B32" s="53">
        <f>SUM(B26:B31)</f>
        <v>0</v>
      </c>
      <c r="C32" s="11"/>
      <c r="D32" s="53">
        <f>SUM(D26:D31)</f>
        <v>0</v>
      </c>
      <c r="E32" s="11"/>
      <c r="F32" s="53">
        <f>SUM(F26:F31)</f>
        <v>0</v>
      </c>
      <c r="G32" s="11"/>
      <c r="H32" s="53">
        <f>SUM(H26:H31)</f>
        <v>0</v>
      </c>
      <c r="I32" s="58">
        <v>2.0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5" t="s">
        <v>41</v>
      </c>
      <c r="B33" s="56"/>
      <c r="C33" s="55" t="s">
        <v>41</v>
      </c>
      <c r="D33" s="56"/>
      <c r="E33" s="55" t="s">
        <v>41</v>
      </c>
      <c r="F33" s="56"/>
      <c r="G33" s="55" t="s">
        <v>41</v>
      </c>
      <c r="H33" s="56"/>
      <c r="I33" s="57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</sheetData>
  <mergeCells count="22">
    <mergeCell ref="E10:F11"/>
    <mergeCell ref="G10:G11"/>
    <mergeCell ref="I1:I12"/>
    <mergeCell ref="H8:H9"/>
    <mergeCell ref="A9:B9"/>
    <mergeCell ref="C9:D9"/>
    <mergeCell ref="E9:F9"/>
    <mergeCell ref="A10:B11"/>
    <mergeCell ref="H10:H11"/>
    <mergeCell ref="A14:I14"/>
    <mergeCell ref="D16:D21"/>
    <mergeCell ref="D26:D31"/>
    <mergeCell ref="H16:H21"/>
    <mergeCell ref="H26:H31"/>
    <mergeCell ref="C10:D11"/>
    <mergeCell ref="A12:D12"/>
    <mergeCell ref="B16:B21"/>
    <mergeCell ref="F16:F21"/>
    <mergeCell ref="I16:I21"/>
    <mergeCell ref="B26:B31"/>
    <mergeCell ref="F26:F31"/>
    <mergeCell ref="I26:I31"/>
  </mergeCells>
  <drawing r:id="rId1"/>
</worksheet>
</file>