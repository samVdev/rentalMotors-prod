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<sst xmlns="http://schemas.openxmlformats.org/spreadsheetml/2006/main" count="52" uniqueCount="40">
  <si>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</si>
  <si>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</si>
  <si>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</si>
  <si>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</si>
  <si>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</si>
  <si>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</si>
  <si>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</si>
  <si>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</si>
  <si>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A2175</t>
  </si>
  <si>
    <t xml:space="preserve">DINAMYC PRO</t>
  </si>
  <si>
    <t xml:space="preserve">AKT</t>
  </si>
  <si>
    <t xml:space="preserve">DPV39I</t>
  </si>
  <si>
    <t xml:space="preserve">MOVIL 01A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</si>
  <si>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</si>
  <si>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</si>
  <si>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</si>
  <si>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</si>
  <si>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</si>
  <si>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</si>
  <si>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</si>
  <si>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</si>
  <si>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</si>
  <si>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</si>
  <si>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</si>
  <si>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</si>
  <si>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</si>
  <si>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</si>
  <si>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</si>
  <si>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DEUDA DE SEMANA </t>
  </si>
  <si>
    <t xml:space="preserve">EILEN MARGARITA</t>
  </si>
  <si>
    <t xml:space="preserve">OSPINO ROCHA</t>
  </si>
  <si>
    <t xml:space="preserve">COLOMBIANA</t>
  </si>
  <si>
    <t xml:space="preserve">ACTIVO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</si>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</sst>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"/>
    <numFmt numFmtId="170" formatCode="General"/>
    <numFmt numFmtId="171" formatCode="dd/mm/yyyy"/>
    <numFmt numFmtId="172" formatCode="#,##0.00"/>
    <numFmt numFmtId="173" formatCode="\$#,##0.00"/>
  </numFmts>
  <fonts count="2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2"/>
      <color rgb="FF000000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20"/>
      <color rgb="FF000000"/>
      <name val="Arial"/>
      <family val="0"/>
      <charset val="1"/>
    </font>
    <font>
      <b val="true"/>
      <sz val="19"/>
      <color rgb="FFFFFFFF"/>
      <name val="Arial"/>
      <family val="0"/>
      <charset val="1"/>
    </font>
    <font>
      <sz val="30"/>
      <color rgb="FF000000"/>
      <name val="Arial"/>
      <family val="0"/>
      <charset val="1"/>
    </font>
    <font>
      <sz val="11"/>
      <color rgb="FF34A853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999999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34A853"/>
      </patternFill>
    </fill>
    <fill>
      <patternFill patternType="solid">
        <fgColor rgb="FF3D85C6"/>
        <bgColor rgb="FF4285F4"/>
      </patternFill>
    </fill>
    <fill>
      <patternFill patternType="solid">
        <fgColor rgb="FFFF9900"/>
        <bgColor rgb="FFFFCC00"/>
      </patternFill>
    </fill>
    <fill>
      <patternFill patternType="solid">
        <fgColor rgb="FFF2F2F2"/>
        <bgColor rgb="FFFFFFFF"/>
      </patternFill>
    </fill>
    <fill>
      <patternFill patternType="solid">
        <fgColor rgb="FF1155CC"/>
        <bgColor rgb="FF0077D9"/>
      </patternFill>
    </fill>
    <fill>
      <patternFill patternType="solid">
        <fgColor rgb="FFFF0000"/>
        <bgColor rgb="FF993300"/>
      </patternFill>
    </fill>
    <fill>
      <patternFill patternType="solid">
        <fgColor rgb="FF46BDC6"/>
        <bgColor rgb="FF34A853"/>
      </patternFill>
    </fill>
    <fill>
      <patternFill patternType="solid">
        <fgColor rgb="FF4285F4"/>
        <bgColor rgb="FF3D85C6"/>
      </patternFill>
    </fill>
    <fill>
      <patternFill patternType="solid">
        <fgColor rgb="FF134F5C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34A853"/>
        <bgColor rgb="FF46BDC6"/>
      </patternFill>
    </fill>
    <fill>
      <patternFill patternType="solid">
        <fgColor rgb="FF666666"/>
        <bgColor rgb="FF808080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0" fillId="1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0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69" fontId="21" fillId="0" borderId="0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65" fontId="2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4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4" fillId="1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3D85C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FF6600"/>
      <rgbColor rgb="FF666666"/>
      <rgbColor rgb="FF999999"/>
      <rgbColor rgb="FF134F5C"/>
      <rgbColor rgb="FF34A853"/>
      <rgbColor rgb="FF003300"/>
      <rgbColor rgb="FF333300"/>
      <rgbColor rgb="FF993300"/>
      <rgbColor rgb="FF993366"/>
      <rgbColor rgb="FF1155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109800</xdr:colOff>
      <xdr:row>0</xdr:row>
      <xdr:rowOff>0</xdr:rowOff>
    </xdr:from>
    <xdr:to>
      <xdr:col>9</xdr:col>
      <xdr:colOff>240840</xdr:colOff>
      <xdr:row>13</xdr:row>
      <xdr:rowOff>104400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0128960" y="0"/>
          <a:ext cx="1752120" cy="27046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0" activeCellId="0" sqref="A1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8"/>
    <col collapsed="false" customWidth="true" hidden="false" outlineLevel="0" max="3" min="3" style="0" width="16.75"/>
    <col collapsed="false" customWidth="true" hidden="false" outlineLevel="0" max="5" min="4" style="0" width="17.38"/>
    <col collapsed="false" customWidth="true" hidden="false" outlineLevel="0" max="6" min="6" style="0" width="17.88"/>
    <col collapsed="false" customWidth="true" hidden="false" outlineLevel="0" max="7" min="7" style="0" width="18.5"/>
    <col collapsed="false" customWidth="true" hidden="false" outlineLevel="0" max="8" min="8" style="0" width="19.25"/>
    <col collapsed="false" customWidth="true" hidden="false" outlineLevel="0" max="9" min="9" style="0" width="2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8</v>
      </c>
      <c r="B2" s="5" t="s">
        <v>9</v>
      </c>
      <c r="C2" s="6" t="n">
        <v>2027</v>
      </c>
      <c r="D2" s="4" t="s">
        <v>10</v>
      </c>
      <c r="E2" s="4" t="s">
        <v>11</v>
      </c>
      <c r="F2" s="7" t="s">
        <v>12</v>
      </c>
      <c r="G2" s="8" t="n">
        <v>8900000</v>
      </c>
      <c r="H2" s="8" t="n">
        <v>2000000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10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8" t="n">
        <f aca="false">G2-H2</f>
        <v>6900000</v>
      </c>
      <c r="B5" s="8" t="n">
        <v>2.666</v>
      </c>
      <c r="C5" s="12" t="n">
        <f aca="false">A5*B5</f>
        <v>18395400</v>
      </c>
      <c r="D5" s="6" t="n">
        <v>26</v>
      </c>
      <c r="E5" s="13" t="n">
        <f aca="false">C5/D5</f>
        <v>707515.3846</v>
      </c>
      <c r="F5" s="14" t="n">
        <f aca="false">E5/2</f>
        <v>353757.6923</v>
      </c>
      <c r="G5" s="13" t="n">
        <f aca="false">E5/4</f>
        <v>176878.8462</v>
      </c>
      <c r="H5" s="13" t="n">
        <f aca="false">G5/6</f>
        <v>29479.80769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15" t="s">
        <v>21</v>
      </c>
      <c r="B6" s="15" t="s">
        <v>22</v>
      </c>
      <c r="C6" s="15" t="s">
        <v>23</v>
      </c>
      <c r="D6" s="15" t="s">
        <v>24</v>
      </c>
      <c r="E6" s="15" t="s">
        <v>25</v>
      </c>
      <c r="F6" s="16" t="s">
        <v>26</v>
      </c>
      <c r="G6" s="17" t="s">
        <v>27</v>
      </c>
      <c r="H6" s="17" t="s">
        <v>28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18" t="s">
        <v>29</v>
      </c>
      <c r="B7" s="19" t="s">
        <v>30</v>
      </c>
      <c r="C7" s="20" t="n">
        <v>1007739947</v>
      </c>
      <c r="D7" s="21" t="s">
        <v>31</v>
      </c>
      <c r="E7" s="22" t="n">
        <v>3148596762</v>
      </c>
      <c r="F7" s="23" t="s">
        <v>32</v>
      </c>
      <c r="G7" s="23" t="s">
        <v>32</v>
      </c>
      <c r="H7" s="24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25"/>
      <c r="B8" s="25"/>
      <c r="C8" s="26"/>
      <c r="D8" s="25"/>
      <c r="E8" s="27"/>
      <c r="F8" s="28"/>
      <c r="G8" s="29"/>
      <c r="H8" s="30" t="s">
        <v>16</v>
      </c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31" t="s">
        <v>33</v>
      </c>
      <c r="B9" s="31"/>
      <c r="C9" s="32" t="s">
        <v>34</v>
      </c>
      <c r="D9" s="32"/>
      <c r="E9" s="32" t="s">
        <v>35</v>
      </c>
      <c r="F9" s="32"/>
      <c r="G9" s="33" t="s">
        <v>36</v>
      </c>
      <c r="H9" s="30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4" t="n">
        <f aca="false">H16+H25</f>
        <v>1062000</v>
      </c>
      <c r="B10" s="34"/>
      <c r="C10" s="35" t="n">
        <f aca="false">C5-A10</f>
        <v>17333400</v>
      </c>
      <c r="D10" s="35"/>
      <c r="E10" s="36" t="n">
        <f aca="false">C10+G10</f>
        <v>17333400</v>
      </c>
      <c r="F10" s="36"/>
      <c r="G10" s="37"/>
      <c r="H10" s="38" t="n">
        <f aca="false">I21+I30</f>
        <v>1</v>
      </c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4"/>
      <c r="B11" s="34"/>
      <c r="C11" s="35"/>
      <c r="D11" s="35"/>
      <c r="E11" s="36"/>
      <c r="F11" s="36"/>
      <c r="G11" s="37"/>
      <c r="H11" s="38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39" t="s">
        <v>37</v>
      </c>
      <c r="B12" s="39"/>
      <c r="C12" s="39"/>
      <c r="D12" s="39"/>
      <c r="E12" s="40"/>
      <c r="F12" s="41"/>
      <c r="G12" s="41"/>
      <c r="H12" s="42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43"/>
      <c r="B13" s="43"/>
      <c r="C13" s="43"/>
      <c r="D13" s="43"/>
      <c r="E13" s="43"/>
      <c r="F13" s="43"/>
      <c r="G13" s="43"/>
      <c r="H13" s="43"/>
      <c r="I13" s="4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43"/>
      <c r="B14" s="43"/>
      <c r="C14" s="43"/>
      <c r="D14" s="43"/>
      <c r="E14" s="43"/>
      <c r="F14" s="43"/>
      <c r="G14" s="43"/>
      <c r="H14" s="43"/>
      <c r="I14" s="4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44" t="s">
        <v>38</v>
      </c>
      <c r="B15" s="44" t="s">
        <v>38</v>
      </c>
      <c r="C15" s="44" t="s">
        <v>39</v>
      </c>
      <c r="D15" s="44" t="s">
        <v>38</v>
      </c>
      <c r="E15" s="44" t="s">
        <v>38</v>
      </c>
      <c r="F15" s="44" t="s">
        <v>39</v>
      </c>
      <c r="G15" s="45"/>
      <c r="H15" s="44"/>
      <c r="I15" s="4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3.8" hidden="false" customHeight="false" outlineLevel="0" collapsed="false">
      <c r="A16" s="46" t="n">
        <v>46097</v>
      </c>
      <c r="B16" s="46" t="n">
        <v>46104</v>
      </c>
      <c r="C16" s="47" t="n">
        <v>354000</v>
      </c>
      <c r="D16" s="46" t="n">
        <v>46111</v>
      </c>
      <c r="E16" s="46" t="n">
        <v>46118</v>
      </c>
      <c r="F16" s="48" t="n">
        <v>354000</v>
      </c>
      <c r="H16" s="49" t="n">
        <f aca="false">C22+F22</f>
        <v>708000</v>
      </c>
      <c r="I16" s="50" t="n">
        <v>1</v>
      </c>
      <c r="J16" s="51"/>
      <c r="K16" s="51"/>
      <c r="L16" s="51"/>
      <c r="M16" s="51"/>
      <c r="N16" s="51"/>
      <c r="O16" s="51"/>
      <c r="P16" s="51"/>
      <c r="Q16" s="51"/>
      <c r="R16" s="51"/>
      <c r="S16" s="3"/>
      <c r="T16" s="3"/>
      <c r="U16" s="3"/>
      <c r="V16" s="3"/>
      <c r="W16" s="3"/>
      <c r="X16" s="3"/>
      <c r="Y16" s="3"/>
      <c r="Z16" s="3"/>
    </row>
    <row r="17" customFormat="false" ht="13.8" hidden="false" customHeight="false" outlineLevel="0" collapsed="false">
      <c r="A17" s="46" t="n">
        <v>46098</v>
      </c>
      <c r="B17" s="46" t="n">
        <v>46105</v>
      </c>
      <c r="C17" s="47"/>
      <c r="D17" s="46" t="n">
        <v>46112</v>
      </c>
      <c r="E17" s="46" t="n">
        <v>46119</v>
      </c>
      <c r="F17" s="48"/>
      <c r="H17" s="49"/>
      <c r="I17" s="49"/>
      <c r="J17" s="51"/>
      <c r="K17" s="51"/>
      <c r="L17" s="51"/>
      <c r="M17" s="51"/>
      <c r="N17" s="51"/>
      <c r="O17" s="51"/>
      <c r="P17" s="51"/>
      <c r="Q17" s="51"/>
      <c r="R17" s="51"/>
      <c r="S17" s="3"/>
      <c r="T17" s="3"/>
      <c r="U17" s="3"/>
      <c r="V17" s="3"/>
      <c r="W17" s="3"/>
      <c r="X17" s="3"/>
      <c r="Y17" s="3"/>
      <c r="Z17" s="3"/>
    </row>
    <row r="18" customFormat="false" ht="13.8" hidden="false" customHeight="false" outlineLevel="0" collapsed="false">
      <c r="A18" s="46" t="n">
        <v>46099</v>
      </c>
      <c r="B18" s="46" t="n">
        <v>46106</v>
      </c>
      <c r="C18" s="47"/>
      <c r="D18" s="46" t="n">
        <v>46113</v>
      </c>
      <c r="E18" s="46" t="n">
        <v>46120</v>
      </c>
      <c r="F18" s="48"/>
      <c r="H18" s="49"/>
      <c r="I18" s="49"/>
      <c r="J18" s="51"/>
      <c r="K18" s="51"/>
      <c r="L18" s="51"/>
      <c r="M18" s="51"/>
      <c r="N18" s="51"/>
      <c r="O18" s="51"/>
      <c r="P18" s="51"/>
      <c r="Q18" s="51"/>
      <c r="R18" s="51"/>
      <c r="S18" s="3"/>
      <c r="T18" s="3"/>
      <c r="U18" s="3"/>
      <c r="V18" s="3"/>
      <c r="W18" s="3"/>
      <c r="X18" s="3"/>
      <c r="Y18" s="3"/>
      <c r="Z18" s="3"/>
    </row>
    <row r="19" customFormat="false" ht="13.8" hidden="false" customHeight="false" outlineLevel="0" collapsed="false">
      <c r="A19" s="46" t="n">
        <v>46100</v>
      </c>
      <c r="B19" s="46" t="n">
        <v>46107</v>
      </c>
      <c r="C19" s="47"/>
      <c r="D19" s="46" t="n">
        <v>46114</v>
      </c>
      <c r="E19" s="46" t="n">
        <v>46121</v>
      </c>
      <c r="F19" s="48"/>
      <c r="H19" s="49"/>
      <c r="I19" s="49"/>
      <c r="J19" s="51"/>
      <c r="K19" s="51"/>
      <c r="L19" s="51"/>
      <c r="M19" s="51"/>
      <c r="N19" s="51"/>
      <c r="O19" s="51"/>
      <c r="P19" s="51"/>
      <c r="Q19" s="51"/>
      <c r="R19" s="51"/>
      <c r="S19" s="3"/>
      <c r="T19" s="3"/>
      <c r="U19" s="3"/>
      <c r="V19" s="3"/>
      <c r="W19" s="3"/>
      <c r="X19" s="3"/>
      <c r="Y19" s="3"/>
      <c r="Z19" s="3"/>
    </row>
    <row r="20" customFormat="false" ht="13.8" hidden="false" customHeight="false" outlineLevel="0" collapsed="false">
      <c r="A20" s="46" t="n">
        <v>46101</v>
      </c>
      <c r="B20" s="46" t="n">
        <v>46108</v>
      </c>
      <c r="C20" s="47"/>
      <c r="D20" s="46" t="n">
        <v>46115</v>
      </c>
      <c r="E20" s="46" t="n">
        <v>46122</v>
      </c>
      <c r="F20" s="48"/>
      <c r="H20" s="49"/>
      <c r="I20" s="49"/>
      <c r="J20" s="51"/>
      <c r="K20" s="51"/>
      <c r="L20" s="51"/>
      <c r="M20" s="51"/>
      <c r="N20" s="51"/>
      <c r="O20" s="51"/>
      <c r="P20" s="51"/>
      <c r="Q20" s="51"/>
      <c r="R20" s="51"/>
      <c r="S20" s="3"/>
      <c r="T20" s="3"/>
      <c r="U20" s="3"/>
      <c r="V20" s="3"/>
      <c r="W20" s="3"/>
      <c r="X20" s="3"/>
      <c r="Y20" s="3"/>
      <c r="Z20" s="3"/>
    </row>
    <row r="21" customFormat="false" ht="13.8" hidden="false" customHeight="false" outlineLevel="0" collapsed="false">
      <c r="A21" s="46" t="n">
        <v>46102</v>
      </c>
      <c r="B21" s="46" t="n">
        <v>46109</v>
      </c>
      <c r="C21" s="47"/>
      <c r="D21" s="46" t="n">
        <v>46116</v>
      </c>
      <c r="E21" s="46" t="n">
        <v>46123</v>
      </c>
      <c r="F21" s="48"/>
      <c r="H21" s="49"/>
      <c r="I21" s="52" t="n">
        <v>1</v>
      </c>
      <c r="J21" s="51"/>
      <c r="K21" s="51"/>
      <c r="L21" s="51"/>
      <c r="M21" s="51"/>
      <c r="N21" s="51"/>
      <c r="O21" s="51"/>
      <c r="P21" s="51"/>
      <c r="Q21" s="51"/>
      <c r="R21" s="51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53"/>
      <c r="B22" s="54"/>
      <c r="C22" s="55" t="n">
        <f aca="false">SUM(C16:C21)</f>
        <v>354000</v>
      </c>
      <c r="D22" s="56"/>
      <c r="E22" s="56"/>
      <c r="F22" s="57" t="n">
        <f aca="false">SUM(F16:F21)</f>
        <v>354000</v>
      </c>
      <c r="G22" s="57"/>
      <c r="H22" s="56"/>
      <c r="I22" s="53"/>
      <c r="J22" s="51"/>
      <c r="K22" s="51"/>
      <c r="L22" s="51"/>
      <c r="M22" s="51"/>
      <c r="N22" s="51"/>
      <c r="O22" s="51"/>
      <c r="P22" s="51"/>
      <c r="Q22" s="51"/>
      <c r="R22" s="51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43"/>
      <c r="B23" s="43"/>
      <c r="C23" s="43"/>
      <c r="D23" s="43"/>
      <c r="E23" s="43"/>
      <c r="F23" s="43"/>
      <c r="G23" s="43"/>
      <c r="H23" s="43"/>
      <c r="I23" s="43"/>
      <c r="J23" s="51"/>
      <c r="K23" s="51"/>
      <c r="L23" s="51"/>
      <c r="M23" s="51"/>
      <c r="N23" s="51"/>
      <c r="O23" s="51"/>
      <c r="P23" s="51"/>
      <c r="Q23" s="51"/>
      <c r="R23" s="51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44" t="s">
        <v>38</v>
      </c>
      <c r="B24" s="44" t="s">
        <v>38</v>
      </c>
      <c r="C24" s="44" t="s">
        <v>39</v>
      </c>
      <c r="D24" s="44" t="s">
        <v>38</v>
      </c>
      <c r="E24" s="44" t="s">
        <v>38</v>
      </c>
      <c r="F24" s="44" t="s">
        <v>39</v>
      </c>
      <c r="G24" s="45"/>
      <c r="H24" s="44"/>
      <c r="I24" s="4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46" t="n">
        <v>46125</v>
      </c>
      <c r="B25" s="46" t="n">
        <v>46132</v>
      </c>
      <c r="C25" s="47" t="n">
        <v>354000</v>
      </c>
      <c r="D25" s="46" t="n">
        <v>46139</v>
      </c>
      <c r="E25" s="46" t="n">
        <v>46146</v>
      </c>
      <c r="F25" s="48"/>
      <c r="G25" s="48"/>
      <c r="H25" s="49" t="n">
        <f aca="false">C31+F31</f>
        <v>354000</v>
      </c>
      <c r="I25" s="50" t="n">
        <v>2</v>
      </c>
      <c r="J25" s="51"/>
      <c r="K25" s="51"/>
      <c r="L25" s="51"/>
      <c r="M25" s="51"/>
      <c r="N25" s="51"/>
      <c r="O25" s="51"/>
      <c r="P25" s="51"/>
      <c r="Q25" s="51"/>
      <c r="R25" s="51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46" t="n">
        <v>46126</v>
      </c>
      <c r="B26" s="46" t="n">
        <v>46133</v>
      </c>
      <c r="C26" s="47"/>
      <c r="D26" s="46" t="n">
        <v>46140</v>
      </c>
      <c r="E26" s="46" t="n">
        <v>46147</v>
      </c>
      <c r="F26" s="48"/>
      <c r="G26" s="48"/>
      <c r="H26" s="49"/>
      <c r="I26" s="49"/>
      <c r="J26" s="51"/>
      <c r="K26" s="51"/>
      <c r="L26" s="51"/>
      <c r="M26" s="51"/>
      <c r="N26" s="51"/>
      <c r="O26" s="51"/>
      <c r="P26" s="51"/>
      <c r="Q26" s="51"/>
      <c r="R26" s="51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58" t="n">
        <v>46127</v>
      </c>
      <c r="B27" s="46" t="n">
        <v>46134</v>
      </c>
      <c r="C27" s="47"/>
      <c r="D27" s="58" t="n">
        <v>46141</v>
      </c>
      <c r="E27" s="46" t="n">
        <v>46148</v>
      </c>
      <c r="F27" s="48"/>
      <c r="G27" s="48"/>
      <c r="H27" s="49"/>
      <c r="I27" s="49"/>
      <c r="J27" s="51"/>
      <c r="K27" s="51"/>
      <c r="L27" s="51"/>
      <c r="M27" s="51"/>
      <c r="N27" s="51"/>
      <c r="O27" s="51"/>
      <c r="P27" s="51"/>
      <c r="Q27" s="51"/>
      <c r="R27" s="51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46" t="n">
        <v>46128</v>
      </c>
      <c r="B28" s="46" t="n">
        <v>46135</v>
      </c>
      <c r="C28" s="47"/>
      <c r="D28" s="46" t="n">
        <v>46142</v>
      </c>
      <c r="E28" s="46" t="n">
        <v>46149</v>
      </c>
      <c r="F28" s="48"/>
      <c r="G28" s="48"/>
      <c r="H28" s="49"/>
      <c r="I28" s="49"/>
      <c r="J28" s="51"/>
      <c r="K28" s="51"/>
      <c r="L28" s="51"/>
      <c r="M28" s="51"/>
      <c r="N28" s="51"/>
      <c r="O28" s="51"/>
      <c r="P28" s="51"/>
      <c r="Q28" s="51"/>
      <c r="R28" s="51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46" t="n">
        <v>46129</v>
      </c>
      <c r="B29" s="46" t="n">
        <v>46136</v>
      </c>
      <c r="C29" s="47"/>
      <c r="D29" s="46" t="n">
        <v>46143</v>
      </c>
      <c r="E29" s="46" t="n">
        <v>46150</v>
      </c>
      <c r="F29" s="48"/>
      <c r="G29" s="48"/>
      <c r="H29" s="49"/>
      <c r="I29" s="49"/>
      <c r="J29" s="51"/>
      <c r="K29" s="51"/>
      <c r="L29" s="51"/>
      <c r="M29" s="51"/>
      <c r="N29" s="51"/>
      <c r="O29" s="51"/>
      <c r="P29" s="51"/>
      <c r="Q29" s="51"/>
      <c r="R29" s="51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46" t="n">
        <v>46130</v>
      </c>
      <c r="B30" s="46" t="n">
        <v>46137</v>
      </c>
      <c r="C30" s="47"/>
      <c r="D30" s="46" t="n">
        <v>46144</v>
      </c>
      <c r="E30" s="46" t="n">
        <v>46151</v>
      </c>
      <c r="F30" s="48"/>
      <c r="G30" s="48"/>
      <c r="H30" s="49"/>
      <c r="I30" s="52"/>
      <c r="J30" s="51"/>
      <c r="K30" s="51"/>
      <c r="L30" s="51"/>
      <c r="M30" s="51"/>
      <c r="N30" s="51"/>
      <c r="O30" s="51"/>
      <c r="P30" s="51"/>
      <c r="Q30" s="51"/>
      <c r="R30" s="51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53"/>
      <c r="B31" s="54"/>
      <c r="C31" s="55" t="n">
        <f aca="false">SUM(C25:C30)</f>
        <v>354000</v>
      </c>
      <c r="D31" s="56"/>
      <c r="E31" s="56"/>
      <c r="F31" s="57" t="n">
        <f aca="false">SUM(F25:F30)</f>
        <v>0</v>
      </c>
      <c r="G31" s="57"/>
      <c r="H31" s="56"/>
      <c r="I31" s="53"/>
      <c r="J31" s="51"/>
      <c r="K31" s="51"/>
      <c r="L31" s="51"/>
      <c r="M31" s="51"/>
      <c r="N31" s="51"/>
      <c r="O31" s="51"/>
      <c r="P31" s="51"/>
      <c r="Q31" s="51"/>
      <c r="R31" s="51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43"/>
      <c r="B32" s="43"/>
      <c r="C32" s="43"/>
      <c r="D32" s="43"/>
      <c r="E32" s="43"/>
      <c r="F32" s="43"/>
      <c r="G32" s="43"/>
      <c r="H32" s="43"/>
      <c r="I32" s="43"/>
      <c r="J32" s="51"/>
      <c r="K32" s="51"/>
      <c r="L32" s="51"/>
      <c r="M32" s="51"/>
      <c r="N32" s="51"/>
      <c r="O32" s="51"/>
      <c r="P32" s="51"/>
      <c r="Q32" s="51"/>
      <c r="R32" s="51"/>
      <c r="S32" s="3"/>
      <c r="T32" s="3"/>
      <c r="U32" s="3"/>
      <c r="V32" s="3"/>
      <c r="W32" s="3"/>
      <c r="X32" s="3"/>
      <c r="Y32" s="3"/>
      <c r="Z32" s="3"/>
    </row>
  </sheetData>
  <mergeCells count="24">
    <mergeCell ref="I1:I12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A13:I14"/>
    <mergeCell ref="C16:C21"/>
    <mergeCell ref="F16:F21"/>
    <mergeCell ref="H16:H21"/>
    <mergeCell ref="I16:I20"/>
    <mergeCell ref="F22:G22"/>
    <mergeCell ref="A23:I23"/>
    <mergeCell ref="C25:C30"/>
    <mergeCell ref="F25:G30"/>
    <mergeCell ref="H25:H30"/>
    <mergeCell ref="I25:I29"/>
    <mergeCell ref="F31:G31"/>
    <mergeCell ref="A32:I3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2026-06-05T19:50:19Z</dcterms:modified>
  <cp:revision>4</cp:revision>
  <dc:subject/>
  <dc:title/>
</cp:coreProperties>
</file>