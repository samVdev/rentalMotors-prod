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<sst xmlns="http://schemas.openxmlformats.org/spreadsheetml/2006/main" count="87" uniqueCount="41">
  <si>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</si>
  <si>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</si>
  <si>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</si>
  <si>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</si>
  <si>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</si>
  <si>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</si>
  <si>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</si>
  <si>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</si>
  <si>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A245875</t>
  </si>
  <si>
    <t xml:space="preserve">CRB 150</t>
  </si>
  <si>
    <t xml:space="preserve">BERA</t>
  </si>
  <si>
    <t xml:space="preserve">CQB-13I</t>
  </si>
  <si>
    <t xml:space="preserve">MOVIL 12-A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</si>
  <si>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</si>
  <si>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</si>
  <si>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</si>
  <si>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</si>
  <si>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</si>
  <si>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</si>
  <si>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</si>
  <si>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</si>
  <si>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</si>
  <si>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</si>
  <si>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PEP</t>
  </si>
  <si>
    <t xml:space="preserve">NACIONALIDAD </t>
  </si>
  <si>
    <t xml:space="preserve">NUMERO</t>
  </si>
  <si>
    <t xml:space="preserve">FIRMA</t>
  </si>
  <si>
    <t xml:space="preserve">GPS</t>
  </si>
  <si>
    <t xml:space="preserve">DEUDA DE SEMANA </t>
  </si>
  <si>
    <t xml:space="preserve">JOSE GREGORIO</t>
  </si>
  <si>
    <t xml:space="preserve">MUNIVE NEGRETTE</t>
  </si>
  <si>
    <t xml:space="preserve">VENEZOLANA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</si>
  <si>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</si>
  <si>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</si>
  <si>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</si>
  <si>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</si>
  <si>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</si>
  <si>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</si>
  <si>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</si>
  <si>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entrega de moto</t>
  </si>
  <si>
    <t xml:space="preserve">REF.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</si>
</sst>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"/>
  </numFmts>
  <fonts count="2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000000"/>
      <name val="Nunito"/>
      <family val="0"/>
      <charset val="1"/>
    </font>
    <font>
      <b val="true"/>
      <sz val="14"/>
      <color rgb="FF000000"/>
      <name val="Arial"/>
      <family val="0"/>
      <charset val="1"/>
    </font>
    <font>
      <sz val="13"/>
      <color rgb="FF000000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25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sz val="20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23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46BDC6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34A853"/>
        <bgColor rgb="FF46BDC6"/>
      </patternFill>
    </fill>
    <fill>
      <patternFill patternType="solid">
        <fgColor rgb="FFFF6D01"/>
        <bgColor rgb="FFFF9900"/>
      </patternFill>
    </fill>
    <fill>
      <patternFill patternType="solid">
        <fgColor rgb="FF3D85C6"/>
        <bgColor rgb="FF4285F4"/>
      </patternFill>
    </fill>
    <fill>
      <patternFill patternType="solid">
        <fgColor rgb="FFFF9900"/>
        <bgColor rgb="FFFF6D01"/>
      </patternFill>
    </fill>
    <fill>
      <patternFill patternType="solid">
        <fgColor rgb="FFF2F2F2"/>
        <bgColor rgb="FFFFFFFF"/>
      </patternFill>
    </fill>
    <fill>
      <patternFill patternType="solid">
        <fgColor rgb="FF1155CC"/>
        <bgColor rgb="FF0077D9"/>
      </patternFill>
    </fill>
    <fill>
      <patternFill patternType="solid">
        <fgColor rgb="FFFF0000"/>
        <bgColor rgb="FF993300"/>
      </patternFill>
    </fill>
    <fill>
      <patternFill patternType="solid">
        <fgColor rgb="FF46BDC6"/>
        <bgColor rgb="FF34A853"/>
      </patternFill>
    </fill>
    <fill>
      <patternFill patternType="solid">
        <fgColor rgb="FF4285F4"/>
        <bgColor rgb="FF3D85C6"/>
      </patternFill>
    </fill>
    <fill>
      <patternFill patternType="solid">
        <fgColor rgb="FFFFFFFF"/>
        <bgColor rgb="FFF2F2F2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1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D01"/>
      <rgbColor rgb="FF3D85C6"/>
      <rgbColor rgb="FF999999"/>
      <rgbColor rgb="FF003366"/>
      <rgbColor rgb="FF34A853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123480</xdr:colOff>
      <xdr:row>0</xdr:row>
      <xdr:rowOff>0</xdr:rowOff>
    </xdr:from>
    <xdr:to>
      <xdr:col>9</xdr:col>
      <xdr:colOff>246240</xdr:colOff>
      <xdr:row>12</xdr:row>
      <xdr:rowOff>161280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323440" y="0"/>
          <a:ext cx="1761840" cy="25617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42" activeCellId="0" sqref="A42:H4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25"/>
    <col collapsed="false" customWidth="true" hidden="false" outlineLevel="0" max="2" min="2" style="0" width="18.38"/>
    <col collapsed="false" customWidth="true" hidden="false" outlineLevel="0" max="3" min="3" style="0" width="19.13"/>
    <col collapsed="false" customWidth="true" hidden="false" outlineLevel="0" max="5" min="4" style="0" width="19.63"/>
    <col collapsed="false" customWidth="true" hidden="false" outlineLevel="0" max="6" min="6" style="0" width="20.38"/>
    <col collapsed="false" customWidth="true" hidden="false" outlineLevel="0" max="7" min="7" style="0" width="20.25"/>
    <col collapsed="false" customWidth="true" hidden="false" outlineLevel="0" max="9" min="8" style="0" width="23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4" t="s">
        <v>9</v>
      </c>
      <c r="C2" s="5" t="n">
        <v>2026</v>
      </c>
      <c r="D2" s="4" t="s">
        <v>10</v>
      </c>
      <c r="E2" s="6" t="s">
        <v>11</v>
      </c>
      <c r="F2" s="7" t="s">
        <v>12</v>
      </c>
      <c r="G2" s="8" t="n">
        <v>6000000</v>
      </c>
      <c r="H2" s="9" t="n">
        <v>800000</v>
      </c>
      <c r="I2" s="2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15.7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2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14" t="n">
        <f aca="false">G2-H2</f>
        <v>5200000</v>
      </c>
      <c r="B5" s="14" t="n">
        <v>2.7404</v>
      </c>
      <c r="C5" s="15" t="n">
        <f aca="false">A5*B5</f>
        <v>14250080</v>
      </c>
      <c r="D5" s="16" t="n">
        <v>18</v>
      </c>
      <c r="E5" s="17" t="n">
        <f aca="false">C5/D5</f>
        <v>791671.1111</v>
      </c>
      <c r="F5" s="17" t="n">
        <f aca="false">E5/2</f>
        <v>395835.55555</v>
      </c>
      <c r="G5" s="17" t="n">
        <f aca="false">F5/2</f>
        <v>197917.777775</v>
      </c>
      <c r="H5" s="18" t="n">
        <f aca="false">G5/6</f>
        <v>32986.2963</v>
      </c>
      <c r="I5" s="2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customFormat="false" ht="15.75" hidden="false" customHeight="false" outlineLevel="0" collapsed="false">
      <c r="A6" s="19" t="s">
        <v>21</v>
      </c>
      <c r="B6" s="19" t="s">
        <v>22</v>
      </c>
      <c r="C6" s="19" t="s">
        <v>23</v>
      </c>
      <c r="D6" s="19" t="s">
        <v>24</v>
      </c>
      <c r="E6" s="19" t="s">
        <v>25</v>
      </c>
      <c r="F6" s="20" t="s">
        <v>26</v>
      </c>
      <c r="G6" s="21" t="s">
        <v>27</v>
      </c>
      <c r="H6" s="21" t="s">
        <v>28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22" t="s">
        <v>29</v>
      </c>
      <c r="B7" s="22" t="s">
        <v>30</v>
      </c>
      <c r="C7" s="23" t="n">
        <v>5154429</v>
      </c>
      <c r="D7" s="24" t="s">
        <v>31</v>
      </c>
      <c r="E7" s="22" t="n">
        <v>25407129</v>
      </c>
      <c r="F7" s="25"/>
      <c r="G7" s="26"/>
      <c r="H7" s="27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8"/>
      <c r="B8" s="28"/>
      <c r="C8" s="28"/>
      <c r="D8" s="28"/>
      <c r="E8" s="29"/>
      <c r="F8" s="29"/>
      <c r="G8" s="26"/>
      <c r="H8" s="30" t="s">
        <v>16</v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31" t="s">
        <v>32</v>
      </c>
      <c r="B9" s="31"/>
      <c r="C9" s="32" t="s">
        <v>33</v>
      </c>
      <c r="D9" s="32"/>
      <c r="E9" s="32" t="s">
        <v>34</v>
      </c>
      <c r="F9" s="32"/>
      <c r="G9" s="33" t="s">
        <v>35</v>
      </c>
      <c r="H9" s="30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4" t="n">
        <f aca="false">I16+I25+I34+I43</f>
        <v>2244000</v>
      </c>
      <c r="B10" s="34"/>
      <c r="C10" s="35" t="n">
        <f aca="false">C5-A10</f>
        <v>12006080</v>
      </c>
      <c r="D10" s="35"/>
      <c r="E10" s="35" t="n">
        <f aca="false">C10+G10</f>
        <v>12006080</v>
      </c>
      <c r="F10" s="35"/>
      <c r="G10" s="36"/>
      <c r="H10" s="37" t="n">
        <f aca="false">I23+I32+I41</f>
        <v>3</v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4"/>
      <c r="B11" s="34"/>
      <c r="C11" s="35"/>
      <c r="D11" s="35"/>
      <c r="E11" s="35"/>
      <c r="F11" s="35"/>
      <c r="G11" s="36"/>
      <c r="H11" s="37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8" t="s">
        <v>36</v>
      </c>
      <c r="B12" s="38"/>
      <c r="C12" s="38"/>
      <c r="D12" s="38"/>
      <c r="E12" s="39"/>
      <c r="F12" s="40"/>
      <c r="G12" s="40"/>
      <c r="H12" s="41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7.2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7.25" hidden="false" customHeight="true" outlineLevel="0" collapsed="false">
      <c r="A15" s="43" t="s">
        <v>37</v>
      </c>
      <c r="B15" s="43" t="s">
        <v>38</v>
      </c>
      <c r="C15" s="0" t="s">
        <v>37</v>
      </c>
      <c r="D15" s="0" t="s">
        <v>38</v>
      </c>
      <c r="E15" s="0" t="s">
        <v>37</v>
      </c>
      <c r="F15" s="0" t="s">
        <v>38</v>
      </c>
      <c r="G15" s="0" t="s">
        <v>37</v>
      </c>
      <c r="H15" s="0" t="s">
        <v>38</v>
      </c>
      <c r="I15" s="4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3.8" hidden="false" customHeight="false" outlineLevel="0" collapsed="false">
      <c r="A16" s="44" t="n">
        <v>46093</v>
      </c>
      <c r="B16" s="45"/>
      <c r="C16" s="44" t="n">
        <v>46097</v>
      </c>
      <c r="D16" s="46" t="n">
        <v>198000</v>
      </c>
      <c r="E16" s="44" t="n">
        <v>46104</v>
      </c>
      <c r="F16" s="46" t="n">
        <v>198000</v>
      </c>
      <c r="G16" s="44" t="n">
        <v>46111</v>
      </c>
      <c r="H16" s="46" t="n">
        <v>198000</v>
      </c>
      <c r="I16" s="47" t="n">
        <f aca="false">B22+D22+F22+H22</f>
        <v>660000</v>
      </c>
    </row>
    <row r="17" customFormat="false" ht="13.8" hidden="false" customHeight="false" outlineLevel="0" collapsed="false">
      <c r="A17" s="44" t="n">
        <v>46093</v>
      </c>
      <c r="B17" s="25"/>
      <c r="C17" s="44" t="n">
        <v>46098</v>
      </c>
      <c r="D17" s="25"/>
      <c r="E17" s="44" t="n">
        <v>46105</v>
      </c>
      <c r="F17" s="48"/>
      <c r="G17" s="44" t="n">
        <v>46112</v>
      </c>
      <c r="H17" s="3"/>
      <c r="I17" s="47"/>
    </row>
    <row r="18" customFormat="false" ht="13.8" hidden="false" customHeight="false" outlineLevel="0" collapsed="false">
      <c r="A18" s="44" t="n">
        <v>46093</v>
      </c>
      <c r="B18" s="25"/>
      <c r="C18" s="44" t="n">
        <v>46099</v>
      </c>
      <c r="D18" s="25"/>
      <c r="E18" s="44" t="n">
        <v>46106</v>
      </c>
      <c r="F18" s="48"/>
      <c r="G18" s="44" t="n">
        <v>46113</v>
      </c>
      <c r="H18" s="3"/>
      <c r="I18" s="47"/>
    </row>
    <row r="19" customFormat="false" ht="15.75" hidden="false" customHeight="false" outlineLevel="0" collapsed="false">
      <c r="A19" s="44" t="n">
        <v>46093</v>
      </c>
      <c r="B19" s="49" t="s">
        <v>39</v>
      </c>
      <c r="C19" s="44" t="n">
        <v>46100</v>
      </c>
      <c r="D19" s="45"/>
      <c r="E19" s="44" t="n">
        <v>46107</v>
      </c>
      <c r="F19" s="50"/>
      <c r="G19" s="44" t="n">
        <v>46114</v>
      </c>
      <c r="H19" s="51"/>
      <c r="I19" s="47"/>
    </row>
    <row r="20" customFormat="false" ht="15.75" hidden="false" customHeight="false" outlineLevel="0" collapsed="false">
      <c r="A20" s="44" t="n">
        <v>46094</v>
      </c>
      <c r="B20" s="52"/>
      <c r="C20" s="44" t="n">
        <v>46101</v>
      </c>
      <c r="D20" s="25"/>
      <c r="E20" s="44" t="n">
        <v>46108</v>
      </c>
      <c r="F20" s="48"/>
      <c r="G20" s="44" t="n">
        <v>46115</v>
      </c>
      <c r="H20" s="3"/>
      <c r="I20" s="47"/>
    </row>
    <row r="21" customFormat="false" ht="15.75" hidden="false" customHeight="false" outlineLevel="0" collapsed="false">
      <c r="A21" s="44" t="n">
        <v>46095</v>
      </c>
      <c r="B21" s="52" t="n">
        <v>66000</v>
      </c>
      <c r="C21" s="44" t="n">
        <v>46102</v>
      </c>
      <c r="D21" s="25"/>
      <c r="E21" s="44" t="n">
        <v>46109</v>
      </c>
      <c r="F21" s="48"/>
      <c r="G21" s="44" t="n">
        <v>46116</v>
      </c>
      <c r="H21" s="3"/>
      <c r="I21" s="47"/>
    </row>
    <row r="22" customFormat="false" ht="15.75" hidden="false" customHeight="false" outlineLevel="0" collapsed="false">
      <c r="A22" s="11"/>
      <c r="B22" s="53" t="n">
        <f aca="false">SUM(B16:B21)</f>
        <v>66000</v>
      </c>
      <c r="C22" s="11"/>
      <c r="D22" s="53" t="n">
        <f aca="false">SUM(D16:D21)</f>
        <v>198000</v>
      </c>
      <c r="E22" s="11"/>
      <c r="F22" s="53" t="n">
        <f aca="false">SUM(F16:F21)</f>
        <v>198000</v>
      </c>
      <c r="G22" s="11"/>
      <c r="H22" s="53" t="n">
        <f aca="false">SUM(H16:H21)</f>
        <v>198000</v>
      </c>
      <c r="I22" s="54" t="n">
        <v>1</v>
      </c>
    </row>
    <row r="23" customFormat="false" ht="15.75" hidden="false" customHeight="false" outlineLevel="0" collapsed="false">
      <c r="A23" s="55" t="s">
        <v>40</v>
      </c>
      <c r="B23" s="56"/>
      <c r="C23" s="55" t="s">
        <v>40</v>
      </c>
      <c r="D23" s="56"/>
      <c r="E23" s="55" t="s">
        <v>40</v>
      </c>
      <c r="F23" s="56"/>
      <c r="G23" s="55" t="s">
        <v>40</v>
      </c>
      <c r="H23" s="56"/>
      <c r="I23" s="57" t="n">
        <v>1</v>
      </c>
    </row>
    <row r="24" customFormat="false" ht="12.8" hidden="false" customHeight="false" outlineLevel="0" collapsed="false">
      <c r="A24" s="0" t="s">
        <v>37</v>
      </c>
      <c r="B24" s="0" t="s">
        <v>38</v>
      </c>
      <c r="C24" s="0" t="s">
        <v>37</v>
      </c>
      <c r="D24" s="0" t="s">
        <v>38</v>
      </c>
      <c r="E24" s="0" t="s">
        <v>37</v>
      </c>
      <c r="F24" s="0" t="s">
        <v>38</v>
      </c>
      <c r="G24" s="0" t="s">
        <v>37</v>
      </c>
      <c r="H24" s="0" t="s">
        <v>38</v>
      </c>
      <c r="I24" s="43"/>
    </row>
    <row r="25" customFormat="false" ht="15.75" hidden="false" customHeight="false" outlineLevel="0" collapsed="false">
      <c r="A25" s="44" t="n">
        <v>46118</v>
      </c>
      <c r="B25" s="46" t="n">
        <v>198000</v>
      </c>
      <c r="C25" s="44" t="n">
        <v>46125</v>
      </c>
      <c r="D25" s="46" t="n">
        <v>198000</v>
      </c>
      <c r="E25" s="44" t="n">
        <v>46132</v>
      </c>
      <c r="F25" s="46" t="n">
        <v>198000</v>
      </c>
      <c r="G25" s="44" t="n">
        <v>46139</v>
      </c>
      <c r="H25" s="46" t="n">
        <v>198000</v>
      </c>
      <c r="I25" s="47" t="n">
        <f aca="false">B31+D31+F31+H31</f>
        <v>792000</v>
      </c>
    </row>
    <row r="26" customFormat="false" ht="15.75" hidden="false" customHeight="false" outlineLevel="0" collapsed="false">
      <c r="A26" s="44" t="n">
        <v>46119</v>
      </c>
      <c r="B26" s="25"/>
      <c r="C26" s="44" t="n">
        <v>46126</v>
      </c>
      <c r="D26" s="25"/>
      <c r="E26" s="44" t="n">
        <v>46133</v>
      </c>
      <c r="F26" s="25"/>
      <c r="G26" s="44" t="n">
        <v>46140</v>
      </c>
      <c r="H26" s="25"/>
      <c r="I26" s="47"/>
    </row>
    <row r="27" customFormat="false" ht="15.75" hidden="false" customHeight="false" outlineLevel="0" collapsed="false">
      <c r="A27" s="44" t="n">
        <v>46120</v>
      </c>
      <c r="B27" s="25"/>
      <c r="C27" s="44" t="n">
        <v>46127</v>
      </c>
      <c r="D27" s="25"/>
      <c r="E27" s="44" t="n">
        <v>46134</v>
      </c>
      <c r="F27" s="25"/>
      <c r="G27" s="44" t="n">
        <v>46141</v>
      </c>
      <c r="H27" s="25"/>
      <c r="I27" s="47"/>
    </row>
    <row r="28" customFormat="false" ht="15.75" hidden="false" customHeight="false" outlineLevel="0" collapsed="false">
      <c r="A28" s="44" t="n">
        <v>46121</v>
      </c>
      <c r="B28" s="45"/>
      <c r="C28" s="44" t="n">
        <v>46128</v>
      </c>
      <c r="D28" s="45"/>
      <c r="E28" s="44" t="n">
        <v>46135</v>
      </c>
      <c r="F28" s="45"/>
      <c r="G28" s="44" t="n">
        <v>46142</v>
      </c>
      <c r="H28" s="45"/>
      <c r="I28" s="47"/>
    </row>
    <row r="29" customFormat="false" ht="15.75" hidden="false" customHeight="false" outlineLevel="0" collapsed="false">
      <c r="A29" s="44" t="n">
        <v>46122</v>
      </c>
      <c r="B29" s="25"/>
      <c r="C29" s="44" t="n">
        <v>46129</v>
      </c>
      <c r="D29" s="25"/>
      <c r="E29" s="44" t="n">
        <v>46136</v>
      </c>
      <c r="F29" s="25"/>
      <c r="G29" s="44" t="n">
        <v>46143</v>
      </c>
      <c r="H29" s="25"/>
      <c r="I29" s="47"/>
    </row>
    <row r="30" customFormat="false" ht="15.75" hidden="false" customHeight="false" outlineLevel="0" collapsed="false">
      <c r="A30" s="44" t="n">
        <v>46123</v>
      </c>
      <c r="B30" s="25"/>
      <c r="C30" s="44" t="n">
        <v>46130</v>
      </c>
      <c r="D30" s="25"/>
      <c r="E30" s="44" t="n">
        <v>46137</v>
      </c>
      <c r="F30" s="25"/>
      <c r="G30" s="44" t="n">
        <v>46144</v>
      </c>
      <c r="H30" s="25"/>
      <c r="I30" s="47"/>
    </row>
    <row r="31" customFormat="false" ht="15.75" hidden="false" customHeight="false" outlineLevel="0" collapsed="false">
      <c r="A31" s="11"/>
      <c r="B31" s="53" t="n">
        <f aca="false">SUM(B25:B30)</f>
        <v>198000</v>
      </c>
      <c r="C31" s="11"/>
      <c r="D31" s="53" t="n">
        <f aca="false">SUM(D25:D30)</f>
        <v>198000</v>
      </c>
      <c r="E31" s="11"/>
      <c r="F31" s="53" t="n">
        <f aca="false">SUM(F25:F30)</f>
        <v>198000</v>
      </c>
      <c r="G31" s="11"/>
      <c r="H31" s="53" t="n">
        <f aca="false">SUM(H25:H30)</f>
        <v>198000</v>
      </c>
      <c r="I31" s="54" t="n">
        <v>2</v>
      </c>
    </row>
    <row r="32" customFormat="false" ht="15.75" hidden="false" customHeight="false" outlineLevel="0" collapsed="false">
      <c r="A32" s="55" t="s">
        <v>40</v>
      </c>
      <c r="B32" s="56"/>
      <c r="C32" s="55" t="s">
        <v>40</v>
      </c>
      <c r="D32" s="56"/>
      <c r="E32" s="55" t="s">
        <v>40</v>
      </c>
      <c r="F32" s="56"/>
      <c r="G32" s="55" t="s">
        <v>40</v>
      </c>
      <c r="H32" s="56"/>
      <c r="I32" s="57" t="n">
        <v>1</v>
      </c>
    </row>
    <row r="33" customFormat="false" ht="12.8" hidden="false" customHeight="false" outlineLevel="0" collapsed="false">
      <c r="A33" s="0" t="s">
        <v>37</v>
      </c>
      <c r="B33" s="0" t="s">
        <v>38</v>
      </c>
      <c r="C33" s="0" t="s">
        <v>37</v>
      </c>
      <c r="D33" s="0" t="s">
        <v>38</v>
      </c>
      <c r="E33" s="0" t="s">
        <v>37</v>
      </c>
      <c r="F33" s="0" t="s">
        <v>38</v>
      </c>
      <c r="G33" s="0" t="s">
        <v>37</v>
      </c>
      <c r="H33" s="0" t="s">
        <v>38</v>
      </c>
      <c r="I33" s="43"/>
    </row>
    <row r="34" customFormat="false" ht="15.75" hidden="false" customHeight="false" outlineLevel="0" collapsed="false">
      <c r="A34" s="44" t="n">
        <v>46146</v>
      </c>
      <c r="B34" s="46" t="n">
        <v>198000</v>
      </c>
      <c r="C34" s="44" t="n">
        <v>46153</v>
      </c>
      <c r="D34" s="46"/>
      <c r="E34" s="44" t="n">
        <v>46160</v>
      </c>
      <c r="F34" s="46"/>
      <c r="G34" s="44" t="n">
        <v>46167</v>
      </c>
      <c r="H34" s="46"/>
      <c r="I34" s="47" t="n">
        <f aca="false">B40+D40+F40+H40</f>
        <v>792000</v>
      </c>
    </row>
    <row r="35" customFormat="false" ht="15.75" hidden="false" customHeight="false" outlineLevel="0" collapsed="false">
      <c r="A35" s="44" t="n">
        <v>46147</v>
      </c>
      <c r="B35" s="25"/>
      <c r="C35" s="44" t="n">
        <v>46154</v>
      </c>
      <c r="D35" s="25"/>
      <c r="E35" s="44" t="n">
        <v>46161</v>
      </c>
      <c r="F35" s="25"/>
      <c r="G35" s="44" t="n">
        <v>46168</v>
      </c>
      <c r="H35" s="25"/>
      <c r="I35" s="47"/>
    </row>
    <row r="36" customFormat="false" ht="15.75" hidden="false" customHeight="false" outlineLevel="0" collapsed="false">
      <c r="A36" s="44" t="n">
        <v>46148</v>
      </c>
      <c r="B36" s="25"/>
      <c r="C36" s="44" t="n">
        <v>46155</v>
      </c>
      <c r="D36" s="49" t="n">
        <v>198000</v>
      </c>
      <c r="E36" s="44" t="n">
        <v>46162</v>
      </c>
      <c r="F36" s="49" t="n">
        <v>198000</v>
      </c>
      <c r="G36" s="44" t="n">
        <v>46169</v>
      </c>
      <c r="H36" s="49" t="n">
        <v>198000</v>
      </c>
      <c r="I36" s="47"/>
    </row>
    <row r="37" customFormat="false" ht="15.75" hidden="false" customHeight="false" outlineLevel="0" collapsed="false">
      <c r="A37" s="44" t="n">
        <v>46149</v>
      </c>
      <c r="B37" s="45"/>
      <c r="C37" s="44" t="n">
        <v>46156</v>
      </c>
      <c r="D37" s="45"/>
      <c r="E37" s="44" t="n">
        <v>46163</v>
      </c>
      <c r="F37" s="45"/>
      <c r="G37" s="44" t="n">
        <v>46170</v>
      </c>
      <c r="H37" s="45"/>
      <c r="I37" s="47"/>
    </row>
    <row r="38" customFormat="false" ht="15.75" hidden="false" customHeight="false" outlineLevel="0" collapsed="false">
      <c r="A38" s="44" t="n">
        <v>46150</v>
      </c>
      <c r="B38" s="25"/>
      <c r="C38" s="44" t="n">
        <v>46157</v>
      </c>
      <c r="D38" s="25"/>
      <c r="E38" s="44" t="n">
        <v>46164</v>
      </c>
      <c r="F38" s="25"/>
      <c r="G38" s="44" t="n">
        <v>46171</v>
      </c>
      <c r="H38" s="25"/>
      <c r="I38" s="47"/>
    </row>
    <row r="39" customFormat="false" ht="15.75" hidden="false" customHeight="false" outlineLevel="0" collapsed="false">
      <c r="A39" s="44" t="n">
        <v>46151</v>
      </c>
      <c r="B39" s="25"/>
      <c r="C39" s="44" t="n">
        <v>46158</v>
      </c>
      <c r="D39" s="25"/>
      <c r="E39" s="44" t="n">
        <v>46165</v>
      </c>
      <c r="F39" s="25"/>
      <c r="G39" s="44" t="n">
        <v>46172</v>
      </c>
      <c r="H39" s="25"/>
      <c r="I39" s="47"/>
    </row>
    <row r="40" customFormat="false" ht="15.75" hidden="false" customHeight="false" outlineLevel="0" collapsed="false">
      <c r="A40" s="11"/>
      <c r="B40" s="53" t="n">
        <f aca="false">SUM(B34:B39)</f>
        <v>198000</v>
      </c>
      <c r="C40" s="11"/>
      <c r="D40" s="53" t="n">
        <f aca="false">SUM(D34:D39)</f>
        <v>198000</v>
      </c>
      <c r="E40" s="11"/>
      <c r="F40" s="53" t="n">
        <f aca="false">SUM(F34:F39)</f>
        <v>198000</v>
      </c>
      <c r="G40" s="11"/>
      <c r="H40" s="53" t="n">
        <f aca="false">SUM(H34:H39)</f>
        <v>198000</v>
      </c>
      <c r="I40" s="54" t="n">
        <v>3</v>
      </c>
    </row>
    <row r="41" customFormat="false" ht="15.75" hidden="false" customHeight="false" outlineLevel="0" collapsed="false">
      <c r="A41" s="55" t="s">
        <v>40</v>
      </c>
      <c r="B41" s="56"/>
      <c r="C41" s="55" t="s">
        <v>40</v>
      </c>
      <c r="D41" s="56"/>
      <c r="E41" s="55" t="s">
        <v>40</v>
      </c>
      <c r="F41" s="56"/>
      <c r="G41" s="55" t="s">
        <v>40</v>
      </c>
      <c r="H41" s="56"/>
      <c r="I41" s="57" t="n">
        <v>1</v>
      </c>
    </row>
    <row r="42" customFormat="false" ht="12.8" hidden="false" customHeight="false" outlineLevel="0" collapsed="false">
      <c r="A42" s="0" t="s">
        <v>37</v>
      </c>
      <c r="B42" s="0" t="s">
        <v>38</v>
      </c>
      <c r="C42" s="0" t="s">
        <v>37</v>
      </c>
      <c r="D42" s="0" t="s">
        <v>38</v>
      </c>
      <c r="E42" s="0" t="s">
        <v>37</v>
      </c>
      <c r="F42" s="0" t="s">
        <v>38</v>
      </c>
      <c r="G42" s="0" t="s">
        <v>37</v>
      </c>
      <c r="H42" s="0" t="s">
        <v>38</v>
      </c>
      <c r="I42" s="43"/>
    </row>
    <row r="43" customFormat="false" ht="15.75" hidden="false" customHeight="false" outlineLevel="0" collapsed="false">
      <c r="A43" s="44" t="n">
        <v>46174</v>
      </c>
      <c r="B43" s="46"/>
      <c r="C43" s="44" t="n">
        <v>46181</v>
      </c>
      <c r="D43" s="46"/>
      <c r="E43" s="44" t="n">
        <v>46188</v>
      </c>
      <c r="F43" s="46"/>
      <c r="G43" s="44" t="n">
        <v>46195</v>
      </c>
      <c r="H43" s="46"/>
      <c r="I43" s="47" t="n">
        <f aca="false">B49+D49+F49+H49</f>
        <v>0</v>
      </c>
    </row>
    <row r="44" customFormat="false" ht="15.75" hidden="false" customHeight="false" outlineLevel="0" collapsed="false">
      <c r="A44" s="44" t="n">
        <v>46175</v>
      </c>
      <c r="B44" s="25"/>
      <c r="C44" s="44" t="n">
        <v>46182</v>
      </c>
      <c r="D44" s="25"/>
      <c r="E44" s="44" t="n">
        <v>46189</v>
      </c>
      <c r="F44" s="25"/>
      <c r="G44" s="44" t="n">
        <v>46196</v>
      </c>
      <c r="H44" s="25"/>
      <c r="I44" s="47"/>
    </row>
    <row r="45" customFormat="false" ht="15.75" hidden="false" customHeight="false" outlineLevel="0" collapsed="false">
      <c r="A45" s="44" t="n">
        <v>46176</v>
      </c>
      <c r="B45" s="25"/>
      <c r="C45" s="44" t="n">
        <v>46183</v>
      </c>
      <c r="D45" s="58"/>
      <c r="E45" s="44" t="n">
        <v>46190</v>
      </c>
      <c r="F45" s="58"/>
      <c r="G45" s="44" t="n">
        <v>46197</v>
      </c>
      <c r="H45" s="58"/>
      <c r="I45" s="47"/>
    </row>
    <row r="46" customFormat="false" ht="15.75" hidden="false" customHeight="false" outlineLevel="0" collapsed="false">
      <c r="A46" s="44" t="n">
        <v>46177</v>
      </c>
      <c r="B46" s="45"/>
      <c r="C46" s="44" t="n">
        <v>46184</v>
      </c>
      <c r="D46" s="45"/>
      <c r="E46" s="44" t="n">
        <v>46191</v>
      </c>
      <c r="F46" s="45"/>
      <c r="G46" s="44" t="n">
        <v>46198</v>
      </c>
      <c r="H46" s="45"/>
      <c r="I46" s="47"/>
    </row>
    <row r="47" customFormat="false" ht="15.75" hidden="false" customHeight="false" outlineLevel="0" collapsed="false">
      <c r="A47" s="44" t="n">
        <v>46178</v>
      </c>
      <c r="B47" s="25"/>
      <c r="C47" s="44" t="n">
        <v>46185</v>
      </c>
      <c r="D47" s="25"/>
      <c r="E47" s="44" t="n">
        <v>46192</v>
      </c>
      <c r="F47" s="25"/>
      <c r="G47" s="44" t="n">
        <v>46199</v>
      </c>
      <c r="H47" s="25"/>
      <c r="I47" s="47"/>
    </row>
    <row r="48" customFormat="false" ht="15.75" hidden="false" customHeight="false" outlineLevel="0" collapsed="false">
      <c r="A48" s="44" t="n">
        <v>46179</v>
      </c>
      <c r="B48" s="25"/>
      <c r="C48" s="44" t="n">
        <v>46186</v>
      </c>
      <c r="D48" s="25"/>
      <c r="E48" s="44" t="n">
        <v>46193</v>
      </c>
      <c r="F48" s="25"/>
      <c r="G48" s="44" t="n">
        <v>46200</v>
      </c>
      <c r="H48" s="25"/>
      <c r="I48" s="47"/>
    </row>
    <row r="49" customFormat="false" ht="15.75" hidden="false" customHeight="false" outlineLevel="0" collapsed="false">
      <c r="A49" s="11"/>
      <c r="B49" s="53" t="n">
        <f aca="false">SUM(B43:B48)</f>
        <v>0</v>
      </c>
      <c r="C49" s="11"/>
      <c r="D49" s="53" t="n">
        <f aca="false">SUM(D43:D48)</f>
        <v>0</v>
      </c>
      <c r="E49" s="11"/>
      <c r="F49" s="53" t="n">
        <f aca="false">SUM(F43:F48)</f>
        <v>0</v>
      </c>
      <c r="G49" s="11"/>
      <c r="H49" s="53" t="n">
        <f aca="false">SUM(H43:H48)</f>
        <v>0</v>
      </c>
      <c r="I49" s="54" t="n">
        <v>4</v>
      </c>
    </row>
    <row r="50" customFormat="false" ht="15.75" hidden="false" customHeight="false" outlineLevel="0" collapsed="false">
      <c r="A50" s="55" t="s">
        <v>40</v>
      </c>
      <c r="B50" s="56"/>
      <c r="C50" s="55" t="s">
        <v>40</v>
      </c>
      <c r="D50" s="56"/>
      <c r="E50" s="55" t="s">
        <v>40</v>
      </c>
      <c r="F50" s="56"/>
      <c r="G50" s="55" t="s">
        <v>40</v>
      </c>
      <c r="H50" s="56"/>
      <c r="I50" s="57"/>
    </row>
    <row r="51" customFormat="false" ht="15.75" hidden="false" customHeight="false" outlineLevel="0" collapsed="false">
      <c r="A51" s="42"/>
      <c r="B51" s="42"/>
      <c r="C51" s="42"/>
      <c r="D51" s="42"/>
      <c r="E51" s="42"/>
      <c r="F51" s="42"/>
      <c r="G51" s="42"/>
      <c r="H51" s="42"/>
      <c r="I51" s="42"/>
    </row>
  </sheetData>
  <mergeCells count="17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A13:I14"/>
    <mergeCell ref="I16:I21"/>
    <mergeCell ref="I25:I30"/>
    <mergeCell ref="I34:I39"/>
    <mergeCell ref="I43:I48"/>
    <mergeCell ref="A51:I5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2026-06-05T19:54:46Z</dcterms:modified>
  <cp:revision>1</cp:revision>
  <dc:subject/>
  <dc:title/>
</cp:coreProperties>
</file>