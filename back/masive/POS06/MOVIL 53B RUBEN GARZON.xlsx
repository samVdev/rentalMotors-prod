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<sst xmlns="http://schemas.openxmlformats.org/spreadsheetml/2006/main" count="130" uniqueCount="58">
  <si>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</si>
  <si>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</si>
  <si>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</si>
  <si>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</si>
  <si>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</si>
  <si>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</si>
  <si>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</si>
  <si>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</si>
  <si>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</si>
  <si>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BOXER</t>
  </si>
  <si>
    <t>BAJAJ</t>
  </si>
  <si>
    <t>YAB09H</t>
  </si>
  <si>
    <t>53B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</si>
  <si>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</si>
  <si>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</si>
  <si>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</si>
  <si>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</si>
  <si>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</si>
  <si>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</si>
  <si>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</si>
  <si>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</si>
  <si>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</si>
  <si>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</si>
  <si>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</si>
  <si>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</si>
  <si>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</si>
  <si>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</si>
  <si>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</si>
  <si>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</si>
  <si>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 xml:space="preserve">RUBEN </t>
  </si>
  <si>
    <t>GARZON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</si>
  <si>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</si>
  <si>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</si>
  <si>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</si>
  <si>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</si>
  <si>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</si>
  <si>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</si>
  <si>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</si>
  <si>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</si>
  <si>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</si>
  <si>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</si>
  <si>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M14080962</t>
  </si>
  <si>
    <t>M08420402</t>
  </si>
  <si>
    <t>M12519926</t>
  </si>
  <si>
    <t>M08323473</t>
  </si>
  <si>
    <t>M12702861</t>
  </si>
  <si>
    <t>M17550380</t>
  </si>
  <si>
    <t>M14164271</t>
  </si>
  <si>
    <t>M11439566</t>
  </si>
  <si>
    <t>M10330886</t>
  </si>
  <si>
    <t>M10202509</t>
  </si>
  <si>
    <t>M08568915</t>
  </si>
  <si>
    <t>M09134628</t>
  </si>
  <si>
    <t>M12086163</t>
  </si>
  <si>
    <t>M06025921</t>
  </si>
  <si>
    <t>M13548356</t>
  </si>
  <si>
    <t>M17617414</t>
  </si>
  <si>
    <t>M14465007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</si>
</sst>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sz val="22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/>
    <font>
      <b/>
      <sz val="25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color rgb="FF46BDC6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1" fillId="6" fontId="6" numFmtId="4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6" fontId="4" numFmtId="0" xfId="0" applyAlignment="1" applyFont="1">
      <alignment horizontal="center" readingOrder="0" vertical="bottom"/>
    </xf>
    <xf borderId="0" fillId="10" fontId="11" numFmtId="0" xfId="0" applyAlignment="1" applyFill="1" applyFont="1">
      <alignment horizontal="center" readingOrder="0" vertical="bottom"/>
    </xf>
    <xf borderId="0" fillId="11" fontId="12" numFmtId="0" xfId="0" applyAlignment="1" applyFill="1" applyFont="1">
      <alignment horizontal="center" readingOrder="0" vertical="bottom"/>
    </xf>
    <xf borderId="0" fillId="11" fontId="12" numFmtId="0" xfId="0" applyAlignment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2" numFmtId="164" xfId="0" applyAlignment="1" applyFill="1" applyFont="1" applyNumberFormat="1">
      <alignment vertical="bottom"/>
    </xf>
    <xf borderId="0" fillId="13" fontId="2" numFmtId="164" xfId="0" applyAlignment="1" applyFont="1" applyNumberFormat="1">
      <alignment horizontal="center" vertical="bottom"/>
    </xf>
    <xf borderId="4" fillId="13" fontId="2" numFmtId="0" xfId="0" applyAlignment="1" applyBorder="1" applyFont="1">
      <alignment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3" numFmtId="4" xfId="0" applyAlignment="1" applyFont="1" applyNumberFormat="1">
      <alignment horizontal="center" vertical="bottom"/>
    </xf>
    <xf borderId="5" fillId="4" fontId="14" numFmtId="4" xfId="0" applyAlignment="1" applyBorder="1" applyFont="1" applyNumberFormat="1">
      <alignment horizontal="center" readingOrder="0" vertical="bottom"/>
    </xf>
    <xf borderId="0" fillId="13" fontId="15" numFmtId="3" xfId="0" applyAlignment="1" applyFont="1" applyNumberFormat="1">
      <alignment horizontal="center" vertical="bottom"/>
    </xf>
    <xf borderId="0" fillId="15" fontId="16" numFmtId="4" xfId="0" applyAlignment="1" applyFill="1" applyFont="1" applyNumberFormat="1">
      <alignment horizontal="center" vertical="bottom"/>
    </xf>
    <xf borderId="0" fillId="16" fontId="17" numFmtId="4" xfId="0" applyAlignment="1" applyFill="1" applyFont="1" applyNumberFormat="1">
      <alignment horizontal="center" vertical="bottom"/>
    </xf>
    <xf borderId="5" fillId="0" fontId="18" numFmtId="0" xfId="0" applyBorder="1" applyFont="1"/>
    <xf borderId="5" fillId="13" fontId="19" numFmtId="0" xfId="0" applyAlignment="1" applyBorder="1" applyFont="1">
      <alignment horizontal="center" vertical="bottom"/>
    </xf>
    <xf borderId="0" fillId="17" fontId="12" numFmtId="0" xfId="0" applyAlignment="1" applyFill="1" applyFont="1">
      <alignment vertical="bottom"/>
    </xf>
    <xf borderId="6" fillId="17" fontId="2" numFmtId="0" xfId="0" applyAlignment="1" applyBorder="1" applyFont="1">
      <alignment vertical="bottom"/>
    </xf>
    <xf borderId="7" fillId="17" fontId="2" numFmtId="0" xfId="0" applyAlignment="1" applyBorder="1" applyFont="1">
      <alignment vertical="bottom"/>
    </xf>
    <xf borderId="8" fillId="0" fontId="18" numFmtId="0" xfId="0" applyBorder="1" applyFont="1"/>
    <xf borderId="0" fillId="13" fontId="2" numFmtId="0" xfId="0" applyAlignment="1" applyFont="1">
      <alignment horizontal="center" vertical="bottom"/>
    </xf>
    <xf borderId="0" fillId="18" fontId="11" numFmtId="166" xfId="0" applyAlignment="1" applyFill="1" applyFont="1" applyNumberFormat="1">
      <alignment horizontal="center" readingOrder="0" vertical="bottom"/>
    </xf>
    <xf borderId="0" fillId="0" fontId="20" numFmtId="167" xfId="0" applyAlignment="1" applyFont="1" applyNumberFormat="1">
      <alignment horizontal="center" readingOrder="0" textRotation="45" vertical="center"/>
    </xf>
    <xf borderId="0" fillId="13" fontId="21" numFmtId="164" xfId="0" applyAlignment="1" applyFont="1" applyNumberFormat="1">
      <alignment horizontal="center" vertical="bottom"/>
    </xf>
    <xf borderId="0" fillId="1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vertical="bottom"/>
    </xf>
    <xf borderId="0" fillId="11" fontId="11" numFmtId="167" xfId="0" applyAlignment="1" applyFont="1" applyNumberFormat="1">
      <alignment horizontal="center" readingOrder="0" vertical="bottom"/>
    </xf>
    <xf borderId="0" fillId="13" fontId="22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0" fillId="4" fontId="1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13" fontId="13" numFmtId="164" xfId="0" applyAlignment="1" applyFont="1" applyNumberFormat="1">
      <alignment horizontal="center" vertical="bottom"/>
    </xf>
    <xf borderId="0" fillId="11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1552575</xdr:colOff>
      <xdr:row>0</xdr:row>
      <xdr:rowOff>0</xdr:rowOff>
    </xdr:from>
    <xdr:ext cx="1581150" cy="2762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13"/>
    <col customWidth="1" min="2" max="2" width="15.63"/>
    <col customWidth="1" min="3" max="3" width="17.13"/>
    <col customWidth="1" min="4" max="4" width="18.63"/>
    <col customWidth="1" min="5" max="5" width="14.38"/>
    <col customWidth="1" min="6" max="6" width="15.0"/>
    <col customWidth="1" min="7" max="7" width="15.88"/>
    <col customWidth="1" min="8" max="8" width="20.38"/>
    <col customWidth="1" min="9" max="9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>
        <v>2027.0</v>
      </c>
      <c r="D2" s="4" t="s">
        <v>10</v>
      </c>
      <c r="E2" s="6" t="s">
        <v>11</v>
      </c>
      <c r="F2" s="7" t="s">
        <v>12</v>
      </c>
      <c r="G2" s="8">
        <v>6800000.0</v>
      </c>
      <c r="H2" s="8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9"/>
      <c r="C3" s="9"/>
      <c r="D3" s="9"/>
      <c r="E3" s="9"/>
      <c r="F3" s="9"/>
      <c r="G3" s="9"/>
      <c r="H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>
        <f>G2-H2</f>
        <v>6000000</v>
      </c>
      <c r="B5" s="13">
        <v>2.6734</v>
      </c>
      <c r="C5" s="14">
        <f>A5*B5</f>
        <v>16040400</v>
      </c>
      <c r="D5" s="15">
        <v>18.0</v>
      </c>
      <c r="E5" s="16">
        <f>C5/D5</f>
        <v>891133.3333</v>
      </c>
      <c r="F5" s="17">
        <f>E5/2</f>
        <v>445566.6667</v>
      </c>
      <c r="G5" s="18">
        <f>E5/4</f>
        <v>222783.3333</v>
      </c>
      <c r="H5" s="16">
        <f>G5/6</f>
        <v>37130.55556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20" t="s">
        <v>26</v>
      </c>
      <c r="G6" s="21" t="s">
        <v>27</v>
      </c>
      <c r="H6" s="21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2" t="s">
        <v>29</v>
      </c>
      <c r="B7" s="22" t="s">
        <v>30</v>
      </c>
      <c r="C7" s="22">
        <v>1.048609823E9</v>
      </c>
      <c r="D7" s="22" t="s">
        <v>31</v>
      </c>
      <c r="E7" s="23">
        <v>3.137349755E9</v>
      </c>
      <c r="F7" s="24" t="s">
        <v>32</v>
      </c>
      <c r="G7" s="25" t="s">
        <v>32</v>
      </c>
      <c r="H7" s="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7"/>
      <c r="B8" s="27"/>
      <c r="C8" s="27"/>
      <c r="D8" s="27"/>
      <c r="E8" s="28"/>
      <c r="F8" s="29"/>
      <c r="G8" s="30"/>
      <c r="H8" s="3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 t="s">
        <v>33</v>
      </c>
      <c r="C9" s="33" t="s">
        <v>34</v>
      </c>
      <c r="E9" s="34" t="s">
        <v>35</v>
      </c>
      <c r="G9" s="34" t="s">
        <v>36</v>
      </c>
      <c r="H9" s="35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>
        <f>I16+I27+I38+I49+I60+I71</f>
        <v>4014000</v>
      </c>
      <c r="C10" s="37">
        <f>C5-A10</f>
        <v>12026400</v>
      </c>
      <c r="E10" s="38">
        <f>C10+G10</f>
        <v>12026400</v>
      </c>
      <c r="G10" s="29"/>
      <c r="H10" s="3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0">
        <f>I23+I34+I45+I56+I67+I78</f>
        <v>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1" t="s">
        <v>37</v>
      </c>
      <c r="E12" s="42"/>
      <c r="F12" s="43"/>
      <c r="G12" s="43"/>
      <c r="H12" s="4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5" t="s">
        <v>38</v>
      </c>
      <c r="B15" s="45" t="s">
        <v>39</v>
      </c>
      <c r="C15" s="45" t="s">
        <v>38</v>
      </c>
      <c r="D15" s="45" t="s">
        <v>39</v>
      </c>
      <c r="E15" s="45" t="s">
        <v>38</v>
      </c>
      <c r="F15" s="45" t="s">
        <v>39</v>
      </c>
      <c r="G15" s="45" t="s">
        <v>38</v>
      </c>
      <c r="H15" s="45" t="s">
        <v>39</v>
      </c>
      <c r="I15" s="2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6">
        <v>46048.0</v>
      </c>
      <c r="B16" s="47">
        <v>223000.0</v>
      </c>
      <c r="C16" s="46">
        <v>46055.0</v>
      </c>
      <c r="D16" s="47">
        <v>223000.0</v>
      </c>
      <c r="E16" s="46">
        <v>46062.0</v>
      </c>
      <c r="F16" s="47">
        <v>223000.0</v>
      </c>
      <c r="G16" s="46">
        <v>46069.0</v>
      </c>
      <c r="H16" s="47">
        <v>223000.0</v>
      </c>
      <c r="I16" s="48">
        <f>B22+D22+F22+H22</f>
        <v>892000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6">
        <v>46049.0</v>
      </c>
      <c r="C17" s="46">
        <v>46056.0</v>
      </c>
      <c r="E17" s="46">
        <v>46063.0</v>
      </c>
      <c r="G17" s="46">
        <v>46070.0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6">
        <v>46050.0</v>
      </c>
      <c r="C18" s="46">
        <v>46057.0</v>
      </c>
      <c r="E18" s="46">
        <v>46064.0</v>
      </c>
      <c r="G18" s="46">
        <v>46071.0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6">
        <v>46051.0</v>
      </c>
      <c r="C19" s="46">
        <v>46058.0</v>
      </c>
      <c r="E19" s="46">
        <v>46065.0</v>
      </c>
      <c r="G19" s="46">
        <v>46072.0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6">
        <v>46052.0</v>
      </c>
      <c r="C20" s="46">
        <v>46059.0</v>
      </c>
      <c r="E20" s="46">
        <v>46066.0</v>
      </c>
      <c r="G20" s="46">
        <v>46073.0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6">
        <v>46053.0</v>
      </c>
      <c r="C21" s="46">
        <v>46060.0</v>
      </c>
      <c r="E21" s="46">
        <v>46067.0</v>
      </c>
      <c r="G21" s="46">
        <v>46074.0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7"/>
      <c r="B22" s="49">
        <f>SUM(B16:B21)</f>
        <v>223000</v>
      </c>
      <c r="C22" s="27"/>
      <c r="D22" s="49">
        <f>SUM(D16:D21)</f>
        <v>223000</v>
      </c>
      <c r="E22" s="27"/>
      <c r="F22" s="49">
        <f>SUM(F16:F21)</f>
        <v>223000</v>
      </c>
      <c r="G22" s="27"/>
      <c r="H22" s="49">
        <f>SUM(H16:H21)</f>
        <v>223000</v>
      </c>
      <c r="I22" s="50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5" t="s">
        <v>40</v>
      </c>
      <c r="B23" s="51" t="s">
        <v>41</v>
      </c>
      <c r="C23" s="45" t="s">
        <v>40</v>
      </c>
      <c r="D23" s="51" t="s">
        <v>42</v>
      </c>
      <c r="E23" s="45" t="s">
        <v>40</v>
      </c>
      <c r="F23" s="51" t="s">
        <v>43</v>
      </c>
      <c r="G23" s="45" t="s">
        <v>40</v>
      </c>
      <c r="H23" s="51" t="s">
        <v>44</v>
      </c>
      <c r="I23" s="52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/>
      <c r="B25" s="9"/>
      <c r="C25" s="9"/>
      <c r="D25" s="9"/>
      <c r="E25" s="9"/>
      <c r="F25" s="9"/>
      <c r="G25" s="9"/>
      <c r="H25" s="9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5" t="s">
        <v>38</v>
      </c>
      <c r="B26" s="45" t="s">
        <v>39</v>
      </c>
      <c r="C26" s="45" t="s">
        <v>38</v>
      </c>
      <c r="D26" s="45" t="s">
        <v>39</v>
      </c>
      <c r="E26" s="45" t="s">
        <v>38</v>
      </c>
      <c r="F26" s="45" t="s">
        <v>39</v>
      </c>
      <c r="G26" s="45" t="s">
        <v>38</v>
      </c>
      <c r="H26" s="45" t="s">
        <v>39</v>
      </c>
      <c r="I26" s="2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6">
        <v>46076.0</v>
      </c>
      <c r="B27" s="47">
        <v>223000.0</v>
      </c>
      <c r="C27" s="46">
        <v>46083.0</v>
      </c>
      <c r="D27" s="47">
        <v>223000.0</v>
      </c>
      <c r="E27" s="46">
        <v>46090.0</v>
      </c>
      <c r="F27" s="47">
        <v>223000.0</v>
      </c>
      <c r="G27" s="46">
        <v>46097.0</v>
      </c>
      <c r="H27" s="47">
        <v>223000.0</v>
      </c>
      <c r="I27" s="48">
        <f>B33+D33+F33+H33</f>
        <v>892000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6">
        <v>46077.0</v>
      </c>
      <c r="C28" s="46">
        <v>46084.0</v>
      </c>
      <c r="E28" s="46">
        <v>46091.0</v>
      </c>
      <c r="G28" s="46">
        <v>46098.0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6">
        <v>46078.0</v>
      </c>
      <c r="C29" s="46">
        <v>46085.0</v>
      </c>
      <c r="E29" s="46">
        <v>46092.0</v>
      </c>
      <c r="G29" s="46">
        <v>46099.0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6">
        <v>46079.0</v>
      </c>
      <c r="C30" s="46">
        <v>46086.0</v>
      </c>
      <c r="E30" s="46">
        <v>46093.0</v>
      </c>
      <c r="G30" s="46">
        <v>46100.0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6">
        <v>46080.0</v>
      </c>
      <c r="C31" s="46">
        <v>46087.0</v>
      </c>
      <c r="E31" s="46">
        <v>46094.0</v>
      </c>
      <c r="G31" s="46">
        <v>46101.0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6">
        <v>46081.0</v>
      </c>
      <c r="C32" s="46">
        <v>46088.0</v>
      </c>
      <c r="E32" s="46">
        <v>46095.0</v>
      </c>
      <c r="G32" s="46">
        <v>46102.0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7"/>
      <c r="B33" s="49">
        <f>SUM(B27:B32)</f>
        <v>223000</v>
      </c>
      <c r="C33" s="27"/>
      <c r="D33" s="49">
        <f>SUM(D27:D32)</f>
        <v>223000</v>
      </c>
      <c r="E33" s="27"/>
      <c r="F33" s="49">
        <f>SUM(F27:F32)</f>
        <v>223000</v>
      </c>
      <c r="G33" s="27"/>
      <c r="H33" s="49">
        <f>SUM(H27:H32)</f>
        <v>223000</v>
      </c>
      <c r="I33" s="54">
        <v>2.0</v>
      </c>
      <c r="J33" s="3"/>
      <c r="K33" s="3"/>
      <c r="L33" s="5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5" t="s">
        <v>40</v>
      </c>
      <c r="B34" s="51" t="s">
        <v>45</v>
      </c>
      <c r="C34" s="45" t="s">
        <v>40</v>
      </c>
      <c r="D34" s="51" t="s">
        <v>46</v>
      </c>
      <c r="E34" s="45" t="s">
        <v>40</v>
      </c>
      <c r="F34" s="51" t="s">
        <v>47</v>
      </c>
      <c r="G34" s="45" t="s">
        <v>40</v>
      </c>
      <c r="H34" s="51" t="s">
        <v>48</v>
      </c>
      <c r="I34" s="52">
        <v>1.0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"/>
      <c r="B36" s="9"/>
      <c r="C36" s="9"/>
      <c r="D36" s="9"/>
      <c r="E36" s="9"/>
      <c r="F36" s="9"/>
      <c r="G36" s="9"/>
      <c r="H36" s="9"/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5" t="s">
        <v>38</v>
      </c>
      <c r="B37" s="45" t="s">
        <v>39</v>
      </c>
      <c r="C37" s="45" t="s">
        <v>38</v>
      </c>
      <c r="D37" s="45" t="s">
        <v>39</v>
      </c>
      <c r="E37" s="45" t="s">
        <v>38</v>
      </c>
      <c r="F37" s="45" t="s">
        <v>39</v>
      </c>
      <c r="G37" s="45" t="s">
        <v>38</v>
      </c>
      <c r="H37" s="45" t="s">
        <v>39</v>
      </c>
      <c r="I37" s="2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6">
        <v>46104.0</v>
      </c>
      <c r="B38" s="47">
        <v>223000.0</v>
      </c>
      <c r="C38" s="46">
        <v>46111.0</v>
      </c>
      <c r="D38" s="47">
        <v>223000.0</v>
      </c>
      <c r="E38" s="46">
        <v>46118.0</v>
      </c>
      <c r="F38" s="47">
        <v>223000.0</v>
      </c>
      <c r="G38" s="46">
        <v>46125.0</v>
      </c>
      <c r="H38" s="47">
        <v>223000.0</v>
      </c>
      <c r="I38" s="48">
        <f>B44+D44+F44+H44</f>
        <v>892000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6">
        <v>46105.0</v>
      </c>
      <c r="C39" s="46">
        <v>46112.0</v>
      </c>
      <c r="E39" s="46">
        <v>46119.0</v>
      </c>
      <c r="G39" s="46">
        <v>46126.0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6">
        <v>46106.0</v>
      </c>
      <c r="C40" s="46">
        <v>46113.0</v>
      </c>
      <c r="E40" s="46">
        <v>46120.0</v>
      </c>
      <c r="G40" s="46">
        <v>46127.0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6">
        <v>46107.0</v>
      </c>
      <c r="C41" s="46">
        <v>46114.0</v>
      </c>
      <c r="E41" s="46">
        <v>46121.0</v>
      </c>
      <c r="G41" s="46">
        <v>46128.0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6">
        <v>46108.0</v>
      </c>
      <c r="C42" s="46">
        <v>46115.0</v>
      </c>
      <c r="E42" s="46">
        <v>46122.0</v>
      </c>
      <c r="G42" s="46">
        <v>46129.0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6">
        <v>46109.0</v>
      </c>
      <c r="C43" s="46">
        <v>46116.0</v>
      </c>
      <c r="E43" s="46">
        <v>46123.0</v>
      </c>
      <c r="G43" s="46">
        <v>46130.0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7"/>
      <c r="B44" s="56">
        <f>SUM(B38:B43)</f>
        <v>223000</v>
      </c>
      <c r="C44" s="27"/>
      <c r="D44" s="49">
        <f>SUM(D38:D43)</f>
        <v>223000</v>
      </c>
      <c r="E44" s="27"/>
      <c r="F44" s="49">
        <f>SUM(F38:F43)</f>
        <v>223000</v>
      </c>
      <c r="G44" s="27"/>
      <c r="H44" s="49">
        <f>SUM(H38:H43)</f>
        <v>223000</v>
      </c>
      <c r="I44" s="54">
        <v>3.0</v>
      </c>
      <c r="J44" s="3"/>
      <c r="K44" s="3"/>
      <c r="L44" s="5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5" t="s">
        <v>40</v>
      </c>
      <c r="B45" s="51" t="s">
        <v>49</v>
      </c>
      <c r="C45" s="45" t="s">
        <v>40</v>
      </c>
      <c r="D45" s="51" t="s">
        <v>50</v>
      </c>
      <c r="E45" s="45" t="s">
        <v>40</v>
      </c>
      <c r="F45" s="51" t="s">
        <v>51</v>
      </c>
      <c r="G45" s="45" t="s">
        <v>40</v>
      </c>
      <c r="H45" s="51" t="s">
        <v>52</v>
      </c>
      <c r="I45" s="52">
        <v>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9"/>
      <c r="B47" s="9"/>
      <c r="C47" s="9"/>
      <c r="D47" s="9"/>
      <c r="E47" s="9"/>
      <c r="F47" s="9"/>
      <c r="G47" s="9"/>
      <c r="H47" s="9"/>
      <c r="I47" s="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5" t="s">
        <v>38</v>
      </c>
      <c r="B48" s="45" t="s">
        <v>39</v>
      </c>
      <c r="C48" s="45" t="s">
        <v>38</v>
      </c>
      <c r="D48" s="45" t="s">
        <v>39</v>
      </c>
      <c r="E48" s="45" t="s">
        <v>38</v>
      </c>
      <c r="F48" s="45" t="s">
        <v>39</v>
      </c>
      <c r="G48" s="45" t="s">
        <v>38</v>
      </c>
      <c r="H48" s="45" t="s">
        <v>39</v>
      </c>
      <c r="I48" s="2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6">
        <v>46132.0</v>
      </c>
      <c r="B49" s="47">
        <v>223000.0</v>
      </c>
      <c r="C49" s="46">
        <v>46139.0</v>
      </c>
      <c r="D49" s="47">
        <v>223000.0</v>
      </c>
      <c r="E49" s="46">
        <v>46146.0</v>
      </c>
      <c r="F49" s="47">
        <v>223000.0</v>
      </c>
      <c r="G49" s="46">
        <v>46153.0</v>
      </c>
      <c r="H49" s="47">
        <v>223000.0</v>
      </c>
      <c r="I49" s="48">
        <f>B55+D55+F55+H55</f>
        <v>892000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6">
        <v>46133.0</v>
      </c>
      <c r="C50" s="46">
        <v>46140.0</v>
      </c>
      <c r="E50" s="46">
        <v>46147.0</v>
      </c>
      <c r="G50" s="46">
        <v>46154.0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6">
        <v>46134.0</v>
      </c>
      <c r="C51" s="46">
        <v>46141.0</v>
      </c>
      <c r="E51" s="46">
        <v>46148.0</v>
      </c>
      <c r="G51" s="46">
        <v>46155.0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6">
        <v>46135.0</v>
      </c>
      <c r="C52" s="46">
        <v>46142.0</v>
      </c>
      <c r="E52" s="46">
        <v>46149.0</v>
      </c>
      <c r="G52" s="46">
        <v>46156.0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6">
        <v>46136.0</v>
      </c>
      <c r="C53" s="46">
        <v>46143.0</v>
      </c>
      <c r="E53" s="46">
        <v>46150.0</v>
      </c>
      <c r="G53" s="46">
        <v>46157.0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6">
        <v>46137.0</v>
      </c>
      <c r="C54" s="46">
        <v>46144.0</v>
      </c>
      <c r="E54" s="46">
        <v>46151.0</v>
      </c>
      <c r="G54" s="46">
        <v>46158.0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7"/>
      <c r="B55" s="49">
        <f>SUM(B49:B54)</f>
        <v>223000</v>
      </c>
      <c r="C55" s="27"/>
      <c r="D55" s="49">
        <f>SUM(D49:D54)</f>
        <v>223000</v>
      </c>
      <c r="E55" s="27"/>
      <c r="F55" s="49">
        <f>SUM(F49:F54)</f>
        <v>223000</v>
      </c>
      <c r="G55" s="27"/>
      <c r="H55" s="49">
        <f>SUM(H49:H54)</f>
        <v>223000</v>
      </c>
      <c r="I55" s="54">
        <v>4.0</v>
      </c>
      <c r="J55" s="3"/>
      <c r="K55" s="3"/>
      <c r="L55" s="5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5" t="s">
        <v>40</v>
      </c>
      <c r="B56" s="51" t="s">
        <v>53</v>
      </c>
      <c r="C56" s="45" t="s">
        <v>40</v>
      </c>
      <c r="D56" s="51" t="s">
        <v>54</v>
      </c>
      <c r="E56" s="45" t="s">
        <v>40</v>
      </c>
      <c r="F56" s="51" t="s">
        <v>55</v>
      </c>
      <c r="G56" s="45" t="s">
        <v>40</v>
      </c>
      <c r="H56" s="51" t="s">
        <v>56</v>
      </c>
      <c r="I56" s="52">
        <v>1.0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/>
      <c r="B58" s="9"/>
      <c r="C58" s="9"/>
      <c r="D58" s="9"/>
      <c r="E58" s="9"/>
      <c r="F58" s="9"/>
      <c r="G58" s="9"/>
      <c r="H58" s="9"/>
      <c r="I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5" t="s">
        <v>38</v>
      </c>
      <c r="B59" s="45" t="s">
        <v>39</v>
      </c>
      <c r="C59" s="45" t="s">
        <v>38</v>
      </c>
      <c r="D59" s="45" t="s">
        <v>39</v>
      </c>
      <c r="E59" s="45" t="s">
        <v>38</v>
      </c>
      <c r="F59" s="45" t="s">
        <v>39</v>
      </c>
      <c r="G59" s="45" t="s">
        <v>38</v>
      </c>
      <c r="H59" s="45" t="s">
        <v>39</v>
      </c>
      <c r="I59" s="2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6">
        <v>46160.0</v>
      </c>
      <c r="B60" s="47">
        <v>223000.0</v>
      </c>
      <c r="C60" s="46">
        <v>46167.0</v>
      </c>
      <c r="D60" s="47">
        <v>223000.0</v>
      </c>
      <c r="E60" s="46">
        <v>46174.0</v>
      </c>
      <c r="F60" s="47"/>
      <c r="G60" s="46">
        <v>46181.0</v>
      </c>
      <c r="H60" s="47"/>
      <c r="I60" s="48">
        <f>B66+D66+F66+H66</f>
        <v>446000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6">
        <v>46161.0</v>
      </c>
      <c r="C61" s="46">
        <v>46168.0</v>
      </c>
      <c r="E61" s="46">
        <v>46175.0</v>
      </c>
      <c r="G61" s="46">
        <v>46182.0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6">
        <v>46162.0</v>
      </c>
      <c r="C62" s="46">
        <v>46169.0</v>
      </c>
      <c r="E62" s="46">
        <v>46176.0</v>
      </c>
      <c r="G62" s="46">
        <v>46183.0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6">
        <v>46163.0</v>
      </c>
      <c r="C63" s="46">
        <v>46170.0</v>
      </c>
      <c r="E63" s="46">
        <v>46177.0</v>
      </c>
      <c r="G63" s="46">
        <v>46184.0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6">
        <v>46164.0</v>
      </c>
      <c r="C64" s="46">
        <v>46171.0</v>
      </c>
      <c r="E64" s="46">
        <v>46178.0</v>
      </c>
      <c r="G64" s="46">
        <v>46185.0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6">
        <v>46165.0</v>
      </c>
      <c r="C65" s="46">
        <v>46172.0</v>
      </c>
      <c r="E65" s="46">
        <v>46179.0</v>
      </c>
      <c r="G65" s="46">
        <v>46186.0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7"/>
      <c r="B66" s="49">
        <f>SUM(B60:B65)</f>
        <v>223000</v>
      </c>
      <c r="C66" s="27"/>
      <c r="D66" s="49">
        <f>SUM(D60:D65)</f>
        <v>223000</v>
      </c>
      <c r="E66" s="27"/>
      <c r="F66" s="49">
        <f>SUM(F60:F65)</f>
        <v>0</v>
      </c>
      <c r="G66" s="27"/>
      <c r="H66" s="49">
        <f>SUM(H60:H65)</f>
        <v>0</v>
      </c>
      <c r="I66" s="54">
        <v>5.0</v>
      </c>
      <c r="J66" s="3"/>
      <c r="K66" s="3"/>
      <c r="L66" s="5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5" t="s">
        <v>40</v>
      </c>
      <c r="B67" s="51" t="s">
        <v>57</v>
      </c>
      <c r="C67" s="45" t="s">
        <v>40</v>
      </c>
      <c r="D67" s="57"/>
      <c r="E67" s="45" t="s">
        <v>40</v>
      </c>
      <c r="F67" s="57"/>
      <c r="G67" s="45" t="s">
        <v>40</v>
      </c>
      <c r="H67" s="57"/>
      <c r="I67" s="5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9"/>
      <c r="B69" s="9"/>
      <c r="C69" s="9"/>
      <c r="D69" s="9"/>
      <c r="E69" s="9"/>
      <c r="F69" s="9"/>
      <c r="G69" s="9"/>
      <c r="H69" s="9"/>
      <c r="I69" s="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5" t="s">
        <v>38</v>
      </c>
      <c r="B70" s="45" t="s">
        <v>39</v>
      </c>
      <c r="C70" s="45" t="s">
        <v>38</v>
      </c>
      <c r="D70" s="45" t="s">
        <v>39</v>
      </c>
      <c r="E70" s="45" t="s">
        <v>38</v>
      </c>
      <c r="F70" s="45" t="s">
        <v>39</v>
      </c>
      <c r="G70" s="45" t="s">
        <v>38</v>
      </c>
      <c r="H70" s="45" t="s">
        <v>39</v>
      </c>
      <c r="I70" s="2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6"/>
      <c r="B71" s="47"/>
      <c r="C71" s="46"/>
      <c r="D71" s="47"/>
      <c r="E71" s="46"/>
      <c r="F71" s="47"/>
      <c r="G71" s="46"/>
      <c r="H71" s="47"/>
      <c r="I71" s="48">
        <f>B77+D77+F77+H77</f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6"/>
      <c r="C72" s="46"/>
      <c r="E72" s="46"/>
      <c r="G72" s="4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6"/>
      <c r="C73" s="46"/>
      <c r="E73" s="46"/>
      <c r="G73" s="4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6"/>
      <c r="C74" s="46"/>
      <c r="E74" s="46"/>
      <c r="G74" s="4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6"/>
      <c r="C75" s="46"/>
      <c r="E75" s="46"/>
      <c r="G75" s="4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6"/>
      <c r="C76" s="46"/>
      <c r="E76" s="46"/>
      <c r="G76" s="4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7"/>
      <c r="B77" s="49">
        <f>SUM(B71:B76)</f>
        <v>0</v>
      </c>
      <c r="C77" s="27"/>
      <c r="D77" s="49">
        <f>SUM(D71:D76)</f>
        <v>0</v>
      </c>
      <c r="E77" s="27"/>
      <c r="F77" s="49">
        <f>SUM(F71:F76)</f>
        <v>0</v>
      </c>
      <c r="G77" s="27"/>
      <c r="H77" s="49">
        <f>SUM(H71:H76)</f>
        <v>0</v>
      </c>
      <c r="I77" s="54">
        <v>6.0</v>
      </c>
      <c r="J77" s="3"/>
      <c r="K77" s="3"/>
      <c r="L77" s="5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5" t="s">
        <v>40</v>
      </c>
      <c r="B78" s="51" t="s">
        <v>57</v>
      </c>
      <c r="C78" s="45" t="s">
        <v>40</v>
      </c>
      <c r="D78" s="57"/>
      <c r="E78" s="45" t="s">
        <v>40</v>
      </c>
      <c r="F78" s="57"/>
      <c r="G78" s="45" t="s">
        <v>40</v>
      </c>
      <c r="H78" s="57"/>
      <c r="I78" s="5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9"/>
      <c r="B80" s="9"/>
      <c r="C80" s="9"/>
      <c r="D80" s="9"/>
      <c r="E80" s="9"/>
      <c r="F80" s="9"/>
      <c r="G80" s="9"/>
      <c r="H80" s="9"/>
      <c r="I80" s="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1">
    <mergeCell ref="E10:F11"/>
    <mergeCell ref="G10:G11"/>
    <mergeCell ref="I1:I12"/>
    <mergeCell ref="A9:B9"/>
    <mergeCell ref="C9:D9"/>
    <mergeCell ref="E9:F9"/>
    <mergeCell ref="H9:H10"/>
    <mergeCell ref="A10:B11"/>
    <mergeCell ref="H11:H12"/>
    <mergeCell ref="C10:D11"/>
    <mergeCell ref="A12:D12"/>
    <mergeCell ref="B16:B21"/>
    <mergeCell ref="F16:F21"/>
    <mergeCell ref="I16:I21"/>
    <mergeCell ref="B27:B32"/>
    <mergeCell ref="F27:F32"/>
    <mergeCell ref="I27:I32"/>
    <mergeCell ref="B49:B54"/>
    <mergeCell ref="B60:B65"/>
    <mergeCell ref="D60:D65"/>
    <mergeCell ref="F60:F65"/>
    <mergeCell ref="B71:B76"/>
    <mergeCell ref="D71:D76"/>
    <mergeCell ref="F71:F76"/>
    <mergeCell ref="D16:D21"/>
    <mergeCell ref="D27:D32"/>
    <mergeCell ref="B38:B43"/>
    <mergeCell ref="D38:D43"/>
    <mergeCell ref="F38:F43"/>
    <mergeCell ref="D49:D54"/>
    <mergeCell ref="F49:F54"/>
    <mergeCell ref="H60:H65"/>
    <mergeCell ref="H71:H76"/>
    <mergeCell ref="I71:I76"/>
    <mergeCell ref="H16:H21"/>
    <mergeCell ref="H27:H32"/>
    <mergeCell ref="H38:H43"/>
    <mergeCell ref="I38:I43"/>
    <mergeCell ref="H49:H54"/>
    <mergeCell ref="I49:I54"/>
    <mergeCell ref="I60:I65"/>
  </mergeCells>
  <drawing r:id="rId1"/>
</worksheet>
</file>