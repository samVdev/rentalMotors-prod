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</sheets>
  <definedNames/>
  <calcPr/>
</workbook>
</file>

<file path=xl/sharedStrings.xml><?xml version="1.0" encoding="utf-8"?>
<sst xmlns="http://schemas.openxmlformats.org/spreadsheetml/2006/main" count="56" uniqueCount="40">
  <si>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</si>
  <si>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</si>
  <si>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</si>
  <si>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</si>
  <si>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</si>
  <si>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</si>
  <si>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</si>
  <si>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</si>
  <si>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A2194</t>
  </si>
  <si>
    <t>GIXXER 150</t>
  </si>
  <si>
    <t>SUZUKI</t>
  </si>
  <si>
    <t>DUR96I</t>
  </si>
  <si>
    <t>45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</si>
  <si>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</si>
  <si>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</si>
  <si>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</si>
  <si>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</si>
  <si>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</si>
  <si>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</si>
  <si>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</si>
  <si>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</si>
  <si>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</si>
  <si>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</si>
  <si>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</si>
  <si>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</si>
  <si>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</si>
  <si>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</si>
  <si>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</si>
  <si>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>PRESTAMO.</t>
  </si>
  <si>
    <t xml:space="preserve">JAIR ANDRES </t>
  </si>
  <si>
    <t>VALVERDE GUERRA</t>
  </si>
  <si>
    <t xml:space="preserve">COLOMBIANA 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</si>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</sst>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"/>
  </numFmts>
  <fonts count="28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1.0"/>
      <color theme="1"/>
      <name val="Nunito"/>
    </font>
    <font>
      <b/>
      <sz val="12.0"/>
      <color rgb="FFFFFFFF"/>
      <name val="Nunito"/>
    </font>
    <font>
      <b/>
      <sz val="14.0"/>
      <color theme="1"/>
      <name val="Nunito"/>
    </font>
    <font>
      <b/>
      <sz val="14.0"/>
      <color rgb="FF000000"/>
      <name val="Nunito"/>
    </font>
    <font>
      <b/>
      <sz val="14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sz val="11.0"/>
      <color theme="1"/>
      <name val="Arial"/>
    </font>
    <font>
      <b/>
      <sz val="11.0"/>
      <color rgb="FFF3F3F3"/>
      <name val="Arial"/>
    </font>
    <font>
      <sz val="11.0"/>
      <color theme="1"/>
      <name val="Arial"/>
    </font>
    <font>
      <b/>
      <sz val="20.0"/>
      <color rgb="FFFFFFFF"/>
      <name val="Arial"/>
      <scheme val="minor"/>
    </font>
    <font>
      <b/>
      <color rgb="FFFFFFFF"/>
      <name val="Arial"/>
    </font>
    <font>
      <color rgb="FFFFFFFF"/>
      <name val="Arial"/>
    </font>
    <font>
      <sz val="30.0"/>
      <color theme="1"/>
      <name val="Arial"/>
    </font>
    <font>
      <b/>
      <sz val="27.0"/>
      <color rgb="FFFFFFFF"/>
      <name val="Arial"/>
    </font>
    <font>
      <b/>
      <sz val="26.0"/>
      <color rgb="FFFFFFFF"/>
      <name val="Arial"/>
    </font>
    <font>
      <b/>
      <sz val="25.0"/>
      <color theme="1"/>
      <name val="Arial"/>
    </font>
    <font/>
    <font>
      <b/>
      <color theme="1"/>
      <name val="Arial"/>
    </font>
    <font>
      <b/>
      <sz val="30.0"/>
      <color theme="1"/>
      <name val="Arial"/>
    </font>
    <font>
      <b/>
      <sz val="11.0"/>
      <color theme="1"/>
      <name val="Arial"/>
      <scheme val="minor"/>
    </font>
    <font>
      <b/>
      <sz val="15.0"/>
      <color theme="1"/>
      <name val="Arial"/>
    </font>
    <font>
      <b/>
      <sz val="15.0"/>
      <color rgb="FFFFFFFF"/>
      <name val="Arial"/>
    </font>
    <font>
      <color rgb="FF00FF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FAF9F9"/>
        <bgColor rgb="FFFAF9F9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3" numFmtId="49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4" numFmtId="0" xfId="0" applyAlignment="1" applyFill="1" applyFont="1">
      <alignment horizontal="center" shrinkToFit="0" vertical="bottom" wrapText="1"/>
    </xf>
    <xf borderId="0" fillId="5" fontId="4" numFmtId="0" xfId="0" applyAlignment="1" applyFont="1">
      <alignment horizontal="center" vertical="bottom"/>
    </xf>
    <xf borderId="1" fillId="3" fontId="5" numFmtId="165" xfId="0" applyAlignment="1" applyBorder="1" applyFont="1" applyNumberFormat="1">
      <alignment horizontal="center" vertical="bottom"/>
    </xf>
    <xf borderId="1" fillId="3" fontId="5" numFmtId="165" xfId="0" applyAlignment="1" applyBorder="1" applyFont="1" applyNumberFormat="1">
      <alignment horizontal="center" readingOrder="0" vertical="bottom"/>
    </xf>
    <xf borderId="1" fillId="3" fontId="5" numFmtId="3" xfId="0" applyAlignment="1" applyBorder="1" applyFont="1" applyNumberFormat="1">
      <alignment horizontal="center" vertical="bottom"/>
    </xf>
    <xf borderId="1" fillId="3" fontId="6" numFmtId="1" xfId="0" applyAlignment="1" applyBorder="1" applyFont="1" applyNumberFormat="1">
      <alignment horizontal="center" readingOrder="0" vertical="bottom"/>
    </xf>
    <xf borderId="2" fillId="3" fontId="6" numFmtId="165" xfId="0" applyAlignment="1" applyBorder="1" applyFont="1" applyNumberFormat="1">
      <alignment horizontal="center" vertical="bottom"/>
    </xf>
    <xf borderId="2" fillId="6" fontId="7" numFmtId="165" xfId="0" applyAlignment="1" applyBorder="1" applyFill="1" applyFont="1" applyNumberFormat="1">
      <alignment horizontal="center" vertical="bottom"/>
    </xf>
    <xf borderId="2" fillId="3" fontId="6" numFmtId="165" xfId="0" applyAlignment="1" applyBorder="1" applyFont="1" applyNumberFormat="1">
      <alignment horizontal="center" readingOrder="0" vertical="bottom"/>
    </xf>
    <xf borderId="0" fillId="7" fontId="8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shrinkToFit="0" vertical="center" wrapText="1"/>
    </xf>
    <xf borderId="0" fillId="8" fontId="10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readingOrder="0"/>
    </xf>
    <xf borderId="0" fillId="3" fontId="11" numFmtId="3" xfId="0" applyAlignment="1" applyFont="1" applyNumberFormat="1">
      <alignment horizontal="center" readingOrder="0"/>
    </xf>
    <xf borderId="0" fillId="9" fontId="11" numFmtId="0" xfId="0" applyAlignment="1" applyFill="1" applyFont="1">
      <alignment horizontal="center" readingOrder="0" vertical="bottom"/>
    </xf>
    <xf borderId="0" fillId="10" fontId="8" numFmtId="0" xfId="0" applyAlignment="1" applyFill="1" applyFont="1">
      <alignment horizontal="center" vertical="bottom"/>
    </xf>
    <xf borderId="0" fillId="11" fontId="12" numFmtId="0" xfId="0" applyAlignment="1" applyFill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12" fontId="2" numFmtId="0" xfId="0" applyAlignment="1" applyFill="1" applyFont="1">
      <alignment vertical="bottom"/>
    </xf>
    <xf borderId="3" fillId="12" fontId="2" numFmtId="0" xfId="0" applyAlignment="1" applyBorder="1" applyFont="1">
      <alignment vertical="bottom"/>
    </xf>
    <xf borderId="0" fillId="13" fontId="2" numFmtId="164" xfId="0" applyAlignment="1" applyFill="1" applyFont="1" applyNumberFormat="1">
      <alignment vertical="bottom"/>
    </xf>
    <xf borderId="0" fillId="4" fontId="14" numFmtId="0" xfId="0" applyAlignment="1" applyFont="1">
      <alignment horizontal="center" readingOrder="0"/>
    </xf>
    <xf borderId="0" fillId="5" fontId="15" numFmtId="0" xfId="0" applyAlignment="1" applyFont="1">
      <alignment horizontal="center" vertical="bottom"/>
    </xf>
    <xf borderId="0" fillId="5" fontId="16" numFmtId="0" xfId="0" applyAlignment="1" applyFont="1">
      <alignment horizontal="center" vertical="bottom"/>
    </xf>
    <xf borderId="0" fillId="12" fontId="17" numFmtId="164" xfId="0" applyAlignment="1" applyFont="1" applyNumberFormat="1">
      <alignment horizontal="center" vertical="bottom"/>
    </xf>
    <xf borderId="0" fillId="14" fontId="18" numFmtId="164" xfId="0" applyAlignment="1" applyFill="1" applyFont="1" applyNumberFormat="1">
      <alignment horizontal="center" vertical="bottom"/>
    </xf>
    <xf borderId="0" fillId="15" fontId="19" numFmtId="4" xfId="0" applyAlignment="1" applyFill="1" applyFont="1" applyNumberFormat="1">
      <alignment horizontal="center" vertical="bottom"/>
    </xf>
    <xf borderId="0" fillId="15" fontId="2" numFmtId="164" xfId="0" applyAlignment="1" applyFont="1" applyNumberFormat="1">
      <alignment vertical="bottom"/>
    </xf>
    <xf borderId="4" fillId="12" fontId="20" numFmtId="0" xfId="0" applyAlignment="1" applyBorder="1" applyFont="1">
      <alignment horizontal="center" vertical="bottom"/>
    </xf>
    <xf borderId="5" fillId="0" fontId="21" numFmtId="0" xfId="0" applyBorder="1" applyFont="1"/>
    <xf borderId="0" fillId="16" fontId="15" numFmtId="0" xfId="0" applyAlignment="1" applyFill="1" applyFont="1">
      <alignment vertical="bottom"/>
    </xf>
    <xf borderId="0" fillId="12" fontId="22" numFmtId="0" xfId="0" applyAlignment="1" applyFont="1">
      <alignment horizontal="center" vertical="bottom"/>
    </xf>
    <xf borderId="0" fillId="4" fontId="2" numFmtId="166" xfId="0" applyAlignment="1" applyFont="1" applyNumberFormat="1">
      <alignment horizontal="center" vertical="bottom"/>
    </xf>
    <xf borderId="0" fillId="4" fontId="2" numFmtId="167" xfId="0" applyAlignment="1" applyFont="1" applyNumberFormat="1">
      <alignment horizontal="center" vertical="bottom"/>
    </xf>
    <xf borderId="0" fillId="4" fontId="2" numFmtId="4" xfId="0" applyAlignment="1" applyFont="1" applyNumberFormat="1">
      <alignment horizontal="center" vertical="bottom"/>
    </xf>
    <xf borderId="0" fillId="4" fontId="2" numFmtId="164" xfId="0" applyAlignment="1" applyFont="1" applyNumberFormat="1">
      <alignment vertical="bottom"/>
    </xf>
    <xf borderId="0" fillId="6" fontId="22" numFmtId="166" xfId="0" applyAlignment="1" applyFont="1" applyNumberFormat="1">
      <alignment horizontal="center" readingOrder="0" vertical="bottom"/>
    </xf>
    <xf borderId="0" fillId="17" fontId="20" numFmtId="164" xfId="0" applyAlignment="1" applyFill="1" applyFont="1" applyNumberFormat="1">
      <alignment horizontal="center" readingOrder="0" textRotation="45" vertical="center"/>
    </xf>
    <xf borderId="0" fillId="12" fontId="23" numFmtId="164" xfId="0" applyAlignment="1" applyFont="1" applyNumberFormat="1">
      <alignment horizontal="center"/>
    </xf>
    <xf borderId="0" fillId="17" fontId="24" numFmtId="0" xfId="0" applyAlignment="1" applyFont="1">
      <alignment horizontal="center" readingOrder="0" vertical="center"/>
    </xf>
    <xf borderId="0" fillId="12" fontId="2" numFmtId="164" xfId="0" applyAlignment="1" applyFont="1" applyNumberFormat="1">
      <alignment vertical="bottom"/>
    </xf>
    <xf borderId="0" fillId="12" fontId="2" numFmtId="164" xfId="0" applyAlignment="1" applyFont="1" applyNumberFormat="1">
      <alignment horizontal="center" vertical="bottom"/>
    </xf>
    <xf borderId="0" fillId="12" fontId="25" numFmtId="164" xfId="0" applyAlignment="1" applyFont="1" applyNumberFormat="1">
      <alignment horizontal="center" vertical="bottom"/>
    </xf>
    <xf borderId="0" fillId="4" fontId="26" numFmtId="3" xfId="0" applyAlignment="1" applyFont="1" applyNumberFormat="1">
      <alignment horizontal="center" readingOrder="0" vertical="bottom"/>
    </xf>
    <xf borderId="0" fillId="12" fontId="2" numFmtId="0" xfId="0" applyAlignment="1" applyFont="1">
      <alignment horizontal="center" readingOrder="0" vertical="bottom"/>
    </xf>
    <xf borderId="0" fillId="10" fontId="15" numFmtId="0" xfId="0" applyAlignment="1" applyFont="1">
      <alignment horizontal="center" readingOrder="0" vertical="bottom"/>
    </xf>
    <xf borderId="0" fillId="6" fontId="27" numFmtId="0" xfId="0" applyAlignment="1" applyFont="1">
      <alignment horizontal="center" readingOrder="0" vertical="bottom"/>
    </xf>
    <xf borderId="0" fillId="18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1533525</xdr:colOff>
      <xdr:row>0</xdr:row>
      <xdr:rowOff>0</xdr:rowOff>
    </xdr:from>
    <xdr:ext cx="1990725" cy="2733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23.0"/>
    <col customWidth="1" min="2" max="2" width="20.25"/>
    <col customWidth="1" min="3" max="3" width="18.75"/>
    <col customWidth="1" min="4" max="4" width="23.5"/>
    <col customWidth="1" min="5" max="5" width="20.25"/>
    <col customWidth="1" min="6" max="6" width="18.88"/>
    <col customWidth="1" min="7" max="7" width="19.25"/>
    <col customWidth="1" min="8" max="8" width="20.5"/>
    <col customWidth="1" min="9" max="9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5" t="s">
        <v>10</v>
      </c>
      <c r="E2" s="5" t="s">
        <v>11</v>
      </c>
      <c r="F2" s="7" t="s">
        <v>12</v>
      </c>
      <c r="G2" s="8">
        <v>1.19783E7</v>
      </c>
      <c r="H2" s="9">
        <v>2000000.0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0"/>
      <c r="C3" s="10"/>
      <c r="D3" s="10"/>
      <c r="E3" s="10"/>
      <c r="F3" s="10"/>
      <c r="G3" s="10"/>
      <c r="H3" s="1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1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f>G2-H2</f>
        <v>9978300</v>
      </c>
      <c r="B5" s="14">
        <v>2.84553</v>
      </c>
      <c r="C5" s="15">
        <f>A5*B5</f>
        <v>28393552</v>
      </c>
      <c r="D5" s="16">
        <v>26.0</v>
      </c>
      <c r="E5" s="17">
        <f>C5/D5</f>
        <v>1092059.692</v>
      </c>
      <c r="F5" s="18">
        <f>E5/2</f>
        <v>546029.8461</v>
      </c>
      <c r="G5" s="19">
        <v>216806.0</v>
      </c>
      <c r="H5" s="17">
        <f>G5/6</f>
        <v>36134.33333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0" t="s">
        <v>21</v>
      </c>
      <c r="B6" s="20" t="s">
        <v>22</v>
      </c>
      <c r="C6" s="20" t="s">
        <v>23</v>
      </c>
      <c r="D6" s="20" t="s">
        <v>24</v>
      </c>
      <c r="E6" s="20" t="s">
        <v>25</v>
      </c>
      <c r="F6" s="21" t="s">
        <v>26</v>
      </c>
      <c r="G6" s="22" t="s">
        <v>27</v>
      </c>
      <c r="H6" s="22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3" t="s">
        <v>29</v>
      </c>
      <c r="B7" s="23" t="s">
        <v>30</v>
      </c>
      <c r="C7" s="24">
        <v>7.3200802E7</v>
      </c>
      <c r="D7" s="23" t="s">
        <v>31</v>
      </c>
      <c r="E7" s="25">
        <v>3.137172115E9</v>
      </c>
      <c r="F7" s="26" t="s">
        <v>32</v>
      </c>
      <c r="G7" s="26" t="s">
        <v>32</v>
      </c>
      <c r="H7" s="27">
        <v>0.0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/>
      <c r="B8" s="29"/>
      <c r="C8" s="29"/>
      <c r="D8" s="29"/>
      <c r="E8" s="30"/>
      <c r="F8" s="31"/>
      <c r="G8" s="31"/>
      <c r="H8" s="32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3" t="s">
        <v>33</v>
      </c>
      <c r="C9" s="34" t="s">
        <v>34</v>
      </c>
      <c r="E9" s="34" t="s">
        <v>35</v>
      </c>
      <c r="G9" s="34" t="s">
        <v>36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5">
        <f>I17+I28</f>
        <v>960000</v>
      </c>
      <c r="C10" s="36">
        <f>C5-A10</f>
        <v>27433552</v>
      </c>
      <c r="E10" s="37">
        <f>C10+G10</f>
        <v>27433552</v>
      </c>
      <c r="G10" s="38"/>
      <c r="H10" s="39">
        <f>I24+I35</f>
        <v>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1" t="s">
        <v>37</v>
      </c>
      <c r="E12" s="4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2" t="s">
        <v>38</v>
      </c>
      <c r="B15" s="42" t="s">
        <v>38</v>
      </c>
      <c r="C15" s="42" t="s">
        <v>39</v>
      </c>
      <c r="D15" s="42" t="s">
        <v>39</v>
      </c>
      <c r="E15" s="42" t="s">
        <v>38</v>
      </c>
      <c r="F15" s="42" t="s">
        <v>38</v>
      </c>
      <c r="G15" s="42" t="s">
        <v>39</v>
      </c>
      <c r="H15" s="42" t="s">
        <v>39</v>
      </c>
      <c r="I15" s="2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3"/>
      <c r="B16" s="44"/>
      <c r="C16" s="43"/>
      <c r="D16" s="45"/>
      <c r="E16" s="43"/>
      <c r="F16" s="45"/>
      <c r="G16" s="43"/>
      <c r="H16" s="45"/>
      <c r="I16" s="46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7">
        <v>46132.0</v>
      </c>
      <c r="B17" s="47">
        <v>46139.0</v>
      </c>
      <c r="C17" s="48">
        <v>390000.0</v>
      </c>
      <c r="E17" s="47">
        <v>46146.0</v>
      </c>
      <c r="F17" s="47">
        <v>46153.0</v>
      </c>
      <c r="G17" s="48">
        <v>570000.0</v>
      </c>
      <c r="I17" s="49">
        <f>C23+G23</f>
        <v>960000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7">
        <v>46133.0</v>
      </c>
      <c r="B18" s="47">
        <v>46140.0</v>
      </c>
      <c r="E18" s="47">
        <v>46147.0</v>
      </c>
      <c r="F18" s="47">
        <v>46154.0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7">
        <v>46134.0</v>
      </c>
      <c r="B19" s="47">
        <v>46141.0</v>
      </c>
      <c r="E19" s="47">
        <v>46148.0</v>
      </c>
      <c r="F19" s="47">
        <v>46155.0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7">
        <v>46135.0</v>
      </c>
      <c r="B20" s="47">
        <v>46142.0</v>
      </c>
      <c r="E20" s="47">
        <v>46149.0</v>
      </c>
      <c r="F20" s="47">
        <v>46156.0</v>
      </c>
      <c r="J20" s="3"/>
      <c r="K20" s="3"/>
      <c r="L20" s="50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7">
        <v>46136.0</v>
      </c>
      <c r="B21" s="47">
        <v>46143.0</v>
      </c>
      <c r="E21" s="47">
        <v>46150.0</v>
      </c>
      <c r="F21" s="47">
        <v>46157.0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7">
        <v>46137.0</v>
      </c>
      <c r="B22" s="47">
        <v>46144.0</v>
      </c>
      <c r="E22" s="47">
        <v>46151.0</v>
      </c>
      <c r="F22" s="47">
        <v>46158.0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1"/>
      <c r="B23" s="52"/>
      <c r="C23" s="53">
        <f>SUM(C17:D22)</f>
        <v>390000</v>
      </c>
      <c r="E23" s="51"/>
      <c r="F23" s="52"/>
      <c r="G23" s="53">
        <f>SUM(G17:H22)</f>
        <v>570000</v>
      </c>
      <c r="I23" s="54">
        <v>1.0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5"/>
      <c r="B24" s="52"/>
      <c r="C24" s="56"/>
      <c r="E24" s="55"/>
      <c r="F24" s="52"/>
      <c r="G24" s="56"/>
      <c r="I24" s="57">
        <v>1.0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2" t="s">
        <v>38</v>
      </c>
      <c r="B26" s="42" t="s">
        <v>38</v>
      </c>
      <c r="C26" s="42" t="s">
        <v>39</v>
      </c>
      <c r="D26" s="42" t="s">
        <v>39</v>
      </c>
      <c r="E26" s="42" t="s">
        <v>38</v>
      </c>
      <c r="F26" s="42" t="s">
        <v>38</v>
      </c>
      <c r="G26" s="42" t="s">
        <v>39</v>
      </c>
      <c r="H26" s="42" t="s">
        <v>39</v>
      </c>
      <c r="I26" s="2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3"/>
      <c r="B27" s="44"/>
      <c r="C27" s="43"/>
      <c r="D27" s="45"/>
      <c r="E27" s="43"/>
      <c r="F27" s="45"/>
      <c r="G27" s="43"/>
      <c r="H27" s="45"/>
      <c r="I27" s="46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7">
        <v>46160.0</v>
      </c>
      <c r="B28" s="47">
        <v>46167.0</v>
      </c>
      <c r="C28" s="48"/>
      <c r="E28" s="47">
        <v>46174.0</v>
      </c>
      <c r="F28" s="47">
        <v>46181.0</v>
      </c>
      <c r="G28" s="48"/>
      <c r="I28" s="49">
        <f>C34+G34</f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7">
        <v>46161.0</v>
      </c>
      <c r="B29" s="47">
        <v>46168.0</v>
      </c>
      <c r="E29" s="47">
        <v>46175.0</v>
      </c>
      <c r="F29" s="47">
        <v>46182.0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7">
        <v>46162.0</v>
      </c>
      <c r="B30" s="47">
        <v>46169.0</v>
      </c>
      <c r="E30" s="47">
        <v>46176.0</v>
      </c>
      <c r="F30" s="47">
        <v>46183.0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7">
        <v>46163.0</v>
      </c>
      <c r="B31" s="47">
        <v>46170.0</v>
      </c>
      <c r="E31" s="47">
        <v>46177.0</v>
      </c>
      <c r="F31" s="47">
        <v>46184.0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7">
        <v>46164.0</v>
      </c>
      <c r="B32" s="47">
        <v>46171.0</v>
      </c>
      <c r="E32" s="47">
        <v>46178.0</v>
      </c>
      <c r="F32" s="47">
        <v>46185.0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7">
        <v>46165.0</v>
      </c>
      <c r="B33" s="47">
        <v>46172.0</v>
      </c>
      <c r="E33" s="47">
        <v>46179.0</v>
      </c>
      <c r="F33" s="47">
        <v>46186.0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1"/>
      <c r="B34" s="52"/>
      <c r="C34" s="53">
        <f>SUM(C28:D33)</f>
        <v>0</v>
      </c>
      <c r="E34" s="51"/>
      <c r="F34" s="52"/>
      <c r="G34" s="53">
        <f>SUM(G28:H33)</f>
        <v>0</v>
      </c>
      <c r="I34" s="54">
        <v>2.0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5"/>
      <c r="B35" s="52"/>
      <c r="C35" s="56"/>
      <c r="E35" s="55"/>
      <c r="F35" s="52"/>
      <c r="G35" s="56"/>
      <c r="I35" s="5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8"/>
      <c r="B39" s="58"/>
      <c r="C39" s="58"/>
      <c r="D39" s="58"/>
      <c r="E39" s="58"/>
      <c r="F39" s="58"/>
      <c r="G39" s="58"/>
      <c r="H39" s="58"/>
      <c r="I39" s="5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8"/>
      <c r="B41" s="58"/>
      <c r="C41" s="58"/>
      <c r="D41" s="58"/>
      <c r="E41" s="58"/>
      <c r="F41" s="58"/>
      <c r="G41" s="58"/>
      <c r="H41" s="58"/>
      <c r="I41" s="5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</sheetData>
  <mergeCells count="26">
    <mergeCell ref="C10:D11"/>
    <mergeCell ref="A12:D12"/>
    <mergeCell ref="C17:D22"/>
    <mergeCell ref="C23:D23"/>
    <mergeCell ref="C24:D24"/>
    <mergeCell ref="C28:D33"/>
    <mergeCell ref="C34:D34"/>
    <mergeCell ref="C35:D35"/>
    <mergeCell ref="I1:I12"/>
    <mergeCell ref="H8:H9"/>
    <mergeCell ref="A9:B9"/>
    <mergeCell ref="C9:D9"/>
    <mergeCell ref="E9:F9"/>
    <mergeCell ref="A10:B11"/>
    <mergeCell ref="H10:H11"/>
    <mergeCell ref="E12:H12"/>
    <mergeCell ref="G28:H33"/>
    <mergeCell ref="G34:H34"/>
    <mergeCell ref="G35:H35"/>
    <mergeCell ref="E10:F11"/>
    <mergeCell ref="G10:G11"/>
    <mergeCell ref="G17:H22"/>
    <mergeCell ref="I17:I22"/>
    <mergeCell ref="G23:H23"/>
    <mergeCell ref="G24:H24"/>
    <mergeCell ref="I28:I33"/>
  </mergeCells>
  <drawing r:id="rId1"/>
</worksheet>
</file>