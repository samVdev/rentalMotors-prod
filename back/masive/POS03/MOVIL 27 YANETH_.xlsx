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<sst xmlns="http://schemas.openxmlformats.org/spreadsheetml/2006/main" count="135" uniqueCount="40">
  <si>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</si>
  <si>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</si>
  <si>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</si>
  <si>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</si>
  <si>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</si>
  <si>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</si>
  <si>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</si>
  <si>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</si>
  <si>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</si>
  <si>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BOXER</t>
  </si>
  <si>
    <t>BAJA</t>
  </si>
  <si>
    <t>MKU86H</t>
  </si>
  <si>
    <t>27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</si>
  <si>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</si>
  <si>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</si>
  <si>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</si>
  <si>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</si>
  <si>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</si>
  <si>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</si>
  <si>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</si>
  <si>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</si>
  <si>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</si>
  <si>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</si>
  <si>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</si>
  <si>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</si>
  <si>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</si>
  <si>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</si>
  <si>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</si>
  <si>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</si>
  <si>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 xml:space="preserve">YANETH  MOLERO </t>
  </si>
  <si>
    <t>AVENDAÑO</t>
  </si>
  <si>
    <t>COLOMBIANA</t>
  </si>
  <si>
    <t>SI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</si>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</sst>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4.0"/>
      <color theme="1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sz val="14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1.0"/>
      <color theme="1"/>
      <name val="Arial"/>
    </font>
    <font>
      <b/>
      <sz val="20.0"/>
      <color theme="1"/>
      <name val="Arial"/>
    </font>
    <font>
      <b/>
      <sz val="22.0"/>
      <color theme="1"/>
      <name val="Arial"/>
    </font>
    <font>
      <b/>
      <sz val="17.0"/>
      <color theme="1"/>
      <name val="Arial"/>
    </font>
    <font>
      <sz val="11.0"/>
      <color theme="1"/>
      <name val="Arial"/>
    </font>
    <font>
      <sz val="11.0"/>
      <color rgb="FFFFFFFF"/>
      <name val="Arial"/>
    </font>
    <font>
      <sz val="20.0"/>
      <color theme="1"/>
      <name val="Arial"/>
    </font>
    <font>
      <color theme="9"/>
      <name val="Arial"/>
    </font>
    <font>
      <color rgb="FF46BDC6"/>
      <name val="Arial"/>
    </font>
    <font>
      <b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B6D7A8"/>
        <bgColor rgb="FFB6D7A8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3" fontId="2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6" fontId="5" numFmtId="165" xfId="0" applyAlignment="1" applyBorder="1" applyFill="1" applyFont="1" applyNumberFormat="1">
      <alignment horizontal="center" vertical="bottom"/>
    </xf>
    <xf borderId="1" fillId="6" fontId="5" numFmtId="165" xfId="0" applyAlignment="1" applyBorder="1" applyFont="1" applyNumberFormat="1">
      <alignment horizontal="center" readingOrder="0" vertical="bottom"/>
    </xf>
    <xf borderId="1" fillId="6" fontId="5" numFmtId="4" xfId="0" applyAlignment="1" applyBorder="1" applyFont="1" applyNumberFormat="1">
      <alignment horizontal="center" vertical="bottom"/>
    </xf>
    <xf borderId="1" fillId="6" fontId="5" numFmtId="1" xfId="0" applyAlignment="1" applyBorder="1" applyFont="1" applyNumberFormat="1">
      <alignment horizontal="center" readingOrder="0" vertical="bottom"/>
    </xf>
    <xf borderId="2" fillId="6" fontId="5" numFmtId="165" xfId="0" applyAlignment="1" applyBorder="1" applyFont="1" applyNumberFormat="1">
      <alignment horizontal="center" vertical="center"/>
    </xf>
    <xf borderId="2" fillId="7" fontId="5" numFmtId="165" xfId="0" applyAlignment="1" applyBorder="1" applyFill="1" applyFont="1" applyNumberFormat="1">
      <alignment horizontal="center" vertical="center"/>
    </xf>
    <xf borderId="0" fillId="8" fontId="6" numFmtId="0" xfId="0" applyAlignment="1" applyFill="1" applyFont="1">
      <alignment horizontal="center" vertical="bottom"/>
    </xf>
    <xf borderId="0" fillId="9" fontId="7" numFmtId="0" xfId="0" applyAlignment="1" applyFill="1" applyFont="1">
      <alignment horizontal="center" shrinkToFit="0" vertical="bottom" wrapText="1"/>
    </xf>
    <xf borderId="0" fillId="9" fontId="8" numFmtId="0" xfId="0" applyAlignment="1" applyFont="1">
      <alignment horizontal="center" shrinkToFit="0" vertical="bottom" wrapText="1"/>
    </xf>
    <xf borderId="0" fillId="6" fontId="9" numFmtId="0" xfId="0" applyAlignment="1" applyFont="1">
      <alignment horizontal="center" readingOrder="0" vertical="bottom"/>
    </xf>
    <xf borderId="0" fillId="6" fontId="9" numFmtId="0" xfId="0" applyAlignment="1" applyFont="1">
      <alignment readingOrder="0" vertical="bottom"/>
    </xf>
    <xf borderId="0" fillId="6" fontId="9" numFmtId="0" xfId="0" applyAlignment="1" applyFont="1">
      <alignment horizontal="center" vertical="bottom"/>
    </xf>
    <xf borderId="0" fillId="6" fontId="9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6" fontId="10" numFmtId="0" xfId="0" applyAlignment="1" applyFont="1">
      <alignment horizontal="center" vertical="bottom"/>
    </xf>
    <xf borderId="0" fillId="11" fontId="6" numFmtId="164" xfId="0" applyAlignment="1" applyFill="1" applyFont="1" applyNumberFormat="1">
      <alignment horizontal="center" vertical="bottom"/>
    </xf>
    <xf borderId="3" fillId="10" fontId="11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4" fillId="0" fontId="14" numFmtId="0" xfId="0" applyBorder="1" applyFont="1"/>
    <xf borderId="0" fillId="10" fontId="15" numFmtId="3" xfId="0" applyAlignment="1" applyFont="1" applyNumberFormat="1">
      <alignment horizontal="center" vertical="center"/>
    </xf>
    <xf borderId="0" fillId="12" fontId="16" numFmtId="164" xfId="0" applyAlignment="1" applyFill="1" applyFont="1" applyNumberFormat="1">
      <alignment horizontal="center" vertical="center"/>
    </xf>
    <xf borderId="0" fillId="12" fontId="17" numFmtId="4" xfId="0" applyAlignment="1" applyFont="1" applyNumberFormat="1">
      <alignment horizontal="center" vertical="center"/>
    </xf>
    <xf borderId="0" fillId="12" fontId="18" numFmtId="164" xfId="0" applyAlignment="1" applyFont="1" applyNumberFormat="1">
      <alignment horizontal="center" readingOrder="0" vertical="center"/>
    </xf>
    <xf borderId="4" fillId="10" fontId="16" numFmtId="0" xfId="0" applyAlignment="1" applyBorder="1" applyFont="1">
      <alignment horizontal="center" readingOrder="0" vertical="center"/>
    </xf>
    <xf borderId="5" fillId="0" fontId="14" numFmtId="0" xfId="0" applyBorder="1" applyFont="1"/>
    <xf borderId="0" fillId="13" fontId="12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0" fillId="14" fontId="12" numFmtId="0" xfId="0" applyAlignment="1" applyFill="1" applyFont="1">
      <alignment horizontal="center" vertical="bottom"/>
    </xf>
    <xf borderId="0" fillId="14" fontId="2" numFmtId="0" xfId="0" applyAlignment="1" applyFont="1">
      <alignment vertical="bottom"/>
    </xf>
    <xf borderId="0" fillId="15" fontId="19" numFmtId="166" xfId="0" applyAlignment="1" applyFill="1" applyFont="1" applyNumberFormat="1">
      <alignment horizontal="center" vertical="bottom"/>
    </xf>
    <xf borderId="0" fillId="16" fontId="19" numFmtId="164" xfId="0" applyAlignment="1" applyFill="1" applyFont="1" applyNumberFormat="1">
      <alignment horizontal="center" vertical="bottom"/>
    </xf>
    <xf borderId="0" fillId="0" fontId="2" numFmtId="4" xfId="0" applyAlignment="1" applyFont="1" applyNumberFormat="1">
      <alignment horizontal="right" vertical="bottom"/>
    </xf>
    <xf borderId="0" fillId="10" fontId="15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4" fontId="20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17" fontId="21" numFmtId="0" xfId="0" applyAlignment="1" applyFill="1" applyFont="1">
      <alignment horizontal="center" readingOrder="0" vertical="bottom"/>
    </xf>
    <xf borderId="0" fillId="18" fontId="2" numFmtId="0" xfId="0" applyAlignment="1" applyFill="1" applyFont="1">
      <alignment vertical="bottom"/>
    </xf>
    <xf borderId="0" fillId="10" fontId="22" numFmtId="0" xfId="0" applyAlignment="1" applyFont="1">
      <alignment readingOrder="0" vertical="bottom"/>
    </xf>
    <xf borderId="0" fillId="0" fontId="2" numFmtId="4" xfId="0" applyAlignment="1" applyFont="1" applyNumberFormat="1">
      <alignment horizontal="center" vertical="bottom"/>
    </xf>
    <xf borderId="0" fillId="19" fontId="2" numFmtId="166" xfId="0" applyAlignment="1" applyFill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15" fontId="2" numFmtId="166" xfId="0" applyAlignment="1" applyFont="1" applyNumberFormat="1">
      <alignment horizontal="center" vertical="bottom"/>
    </xf>
    <xf borderId="0" fillId="4" fontId="2" numFmtId="166" xfId="0" applyAlignment="1" applyFont="1" applyNumberFormat="1">
      <alignment vertical="bottom"/>
    </xf>
    <xf borderId="0" fillId="4" fontId="13" numFmtId="167" xfId="0" applyAlignment="1" applyFont="1" applyNumberFormat="1">
      <alignment horizontal="center" vertical="bottom"/>
    </xf>
    <xf borderId="0" fillId="17" fontId="2" numFmtId="0" xfId="0" applyAlignment="1" applyFont="1">
      <alignment vertical="bottom"/>
    </xf>
    <xf borderId="0" fillId="17" fontId="2" numFmtId="164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4" fontId="13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center" readingOrder="0" vertical="bottom"/>
    </xf>
    <xf borderId="0" fillId="10" fontId="15" numFmtId="164" xfId="0" applyAlignment="1" applyFont="1" applyNumberFormat="1">
      <alignment horizontal="center"/>
    </xf>
    <xf borderId="0" fillId="15" fontId="2" numFmtId="166" xfId="0" applyAlignment="1" applyFont="1" applyNumberFormat="1">
      <alignment horizontal="center" readingOrder="0" vertical="bottom"/>
    </xf>
    <xf borderId="0" fillId="10" fontId="23" numFmtId="0" xfId="0" applyAlignment="1" applyFont="1">
      <alignment readingOrder="0" vertical="bottom"/>
    </xf>
    <xf borderId="0" fillId="0" fontId="24" numFmtId="167" xfId="0" applyAlignment="1" applyFont="1" applyNumberFormat="1">
      <alignment horizontal="center" readingOrder="0" vertical="bottom"/>
    </xf>
    <xf borderId="0" fillId="10" fontId="15" numFmtId="164" xfId="0" applyAlignment="1" applyFont="1" applyNumberFormat="1">
      <alignment horizontal="center" vertical="bottom"/>
    </xf>
    <xf borderId="0" fillId="10" fontId="2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1514475</xdr:colOff>
      <xdr:row>0</xdr:row>
      <xdr:rowOff>0</xdr:rowOff>
    </xdr:from>
    <xdr:ext cx="2276475" cy="2714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0.25"/>
    <col customWidth="1" min="2" max="2" width="19.38"/>
    <col customWidth="1" min="3" max="3" width="18.38"/>
    <col customWidth="1" min="4" max="4" width="17.38"/>
    <col customWidth="1" min="5" max="5" width="18.25"/>
    <col customWidth="1" min="6" max="6" width="16.25"/>
    <col customWidth="1" min="7" max="7" width="19.5"/>
    <col customWidth="1" min="8" max="8" width="19.88"/>
    <col customWidth="1" min="9" max="9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>
        <v>2026.0</v>
      </c>
      <c r="D2" s="4" t="s">
        <v>10</v>
      </c>
      <c r="E2" s="4" t="s">
        <v>11</v>
      </c>
      <c r="F2" s="6" t="s">
        <v>12</v>
      </c>
      <c r="G2" s="7">
        <v>6800000.0</v>
      </c>
      <c r="H2" s="8">
        <v>450000.0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9"/>
      <c r="C3" s="9"/>
      <c r="D3" s="9"/>
      <c r="E3" s="9"/>
      <c r="F3" s="9"/>
      <c r="G3" s="9"/>
      <c r="H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f>G2-H2</f>
        <v>6350000</v>
      </c>
      <c r="B5" s="13">
        <v>2.6441</v>
      </c>
      <c r="C5" s="14">
        <f>A5*B5</f>
        <v>16790035</v>
      </c>
      <c r="D5" s="15">
        <v>18.0</v>
      </c>
      <c r="E5" s="16">
        <f>C5/D5</f>
        <v>932779.7222</v>
      </c>
      <c r="F5" s="16">
        <f t="shared" ref="F5:G5" si="1">E5/2</f>
        <v>466389.8611</v>
      </c>
      <c r="G5" s="17">
        <f t="shared" si="1"/>
        <v>233194.9306</v>
      </c>
      <c r="H5" s="16">
        <f>G5/6</f>
        <v>38865.82176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29</v>
      </c>
      <c r="B7" s="22" t="s">
        <v>30</v>
      </c>
      <c r="C7" s="23">
        <v>1088359.0</v>
      </c>
      <c r="D7" s="21" t="s">
        <v>31</v>
      </c>
      <c r="E7" s="23">
        <v>3.008277329E9</v>
      </c>
      <c r="F7" s="21" t="s">
        <v>32</v>
      </c>
      <c r="G7" s="24"/>
      <c r="H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5"/>
      <c r="B8" s="25"/>
      <c r="C8" s="25"/>
      <c r="D8" s="25"/>
      <c r="E8" s="26"/>
      <c r="F8" s="26"/>
      <c r="G8" s="27"/>
      <c r="H8" s="28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9" t="s">
        <v>33</v>
      </c>
      <c r="C9" s="30" t="s">
        <v>34</v>
      </c>
      <c r="E9" s="30" t="s">
        <v>35</v>
      </c>
      <c r="G9" s="30" t="s">
        <v>36</v>
      </c>
      <c r="H9" s="3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2">
        <f>I16+I26+I36+I46+I56+I66+I77+I87+I97+I107+I117+I127+I137+I147+I157</f>
        <v>13600000</v>
      </c>
      <c r="C10" s="33">
        <f>C5-A10</f>
        <v>3190035</v>
      </c>
      <c r="E10" s="34">
        <f>C10+G10</f>
        <v>3646035</v>
      </c>
      <c r="G10" s="35">
        <v>456000.0</v>
      </c>
      <c r="H10" s="36">
        <f>I23+I33+I43+I53+I63+I74+I85+I94+I104+I114+I124+I134+I144+I154+I164</f>
        <v>14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8" t="s">
        <v>37</v>
      </c>
      <c r="E12" s="39"/>
      <c r="F12" s="40"/>
      <c r="G12" s="40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1" t="s">
        <v>38</v>
      </c>
      <c r="B15" s="41" t="s">
        <v>39</v>
      </c>
      <c r="C15" s="41" t="s">
        <v>38</v>
      </c>
      <c r="D15" s="41" t="s">
        <v>39</v>
      </c>
      <c r="E15" s="41" t="s">
        <v>38</v>
      </c>
      <c r="F15" s="41" t="s">
        <v>39</v>
      </c>
      <c r="G15" s="41" t="s">
        <v>38</v>
      </c>
      <c r="H15" s="41" t="s">
        <v>39</v>
      </c>
      <c r="I15" s="4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3">
        <v>45775.0</v>
      </c>
      <c r="B16" s="44">
        <v>240000.0</v>
      </c>
      <c r="C16" s="43">
        <v>45782.0</v>
      </c>
      <c r="D16" s="44">
        <v>240000.0</v>
      </c>
      <c r="E16" s="43">
        <v>45789.0</v>
      </c>
      <c r="F16" s="44">
        <v>240000.0</v>
      </c>
      <c r="G16" s="43">
        <v>45796.0</v>
      </c>
      <c r="H16" s="45">
        <v>240000.0</v>
      </c>
      <c r="I16" s="46">
        <f>B22+D22+F22+H22</f>
        <v>960000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3">
        <v>45776.0</v>
      </c>
      <c r="B17" s="47"/>
      <c r="C17" s="43">
        <v>45783.0</v>
      </c>
      <c r="D17" s="47"/>
      <c r="E17" s="43">
        <v>45790.0</v>
      </c>
      <c r="F17" s="47"/>
      <c r="G17" s="43">
        <v>45797.0</v>
      </c>
      <c r="H17" s="4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3">
        <v>45777.0</v>
      </c>
      <c r="B18" s="47"/>
      <c r="C18" s="43">
        <v>45784.0</v>
      </c>
      <c r="D18" s="47"/>
      <c r="E18" s="43">
        <v>45791.0</v>
      </c>
      <c r="F18" s="47"/>
      <c r="G18" s="43">
        <v>45798.0</v>
      </c>
      <c r="H18" s="47"/>
      <c r="J18" s="3"/>
      <c r="K18" s="3"/>
      <c r="L18" s="3"/>
      <c r="M18" s="3"/>
      <c r="N18" s="3"/>
      <c r="O18" s="4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3">
        <v>45778.0</v>
      </c>
      <c r="B19" s="47"/>
      <c r="C19" s="43">
        <v>45785.0</v>
      </c>
      <c r="D19" s="47"/>
      <c r="E19" s="43">
        <v>45792.0</v>
      </c>
      <c r="F19" s="47"/>
      <c r="G19" s="43">
        <v>45799.0</v>
      </c>
      <c r="H19" s="4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3">
        <v>45779.0</v>
      </c>
      <c r="B20" s="47"/>
      <c r="C20" s="43">
        <v>45786.0</v>
      </c>
      <c r="D20" s="47"/>
      <c r="E20" s="43">
        <v>45793.0</v>
      </c>
      <c r="F20" s="47"/>
      <c r="G20" s="43">
        <v>45800.0</v>
      </c>
      <c r="H20" s="4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3">
        <v>45780.0</v>
      </c>
      <c r="B21" s="47"/>
      <c r="C21" s="43">
        <v>45787.0</v>
      </c>
      <c r="D21" s="47"/>
      <c r="E21" s="43">
        <v>45794.0</v>
      </c>
      <c r="F21" s="47"/>
      <c r="G21" s="43">
        <v>45801.0</v>
      </c>
      <c r="H21" s="4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/>
      <c r="B22" s="49">
        <f>SUM(B16:B21)</f>
        <v>240000</v>
      </c>
      <c r="C22" s="50"/>
      <c r="D22" s="49">
        <f>SUM(D16:D21)</f>
        <v>240000</v>
      </c>
      <c r="E22" s="50"/>
      <c r="F22" s="49">
        <f>SUM(F16:F21)</f>
        <v>240000</v>
      </c>
      <c r="G22" s="50"/>
      <c r="H22" s="49">
        <f>SUM(H16:H21)</f>
        <v>240000</v>
      </c>
      <c r="I22" s="51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5"/>
      <c r="B23" s="52"/>
      <c r="C23" s="25"/>
      <c r="D23" s="52"/>
      <c r="E23" s="25"/>
      <c r="F23" s="52"/>
      <c r="G23" s="25"/>
      <c r="H23" s="52"/>
      <c r="I23" s="53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1" t="s">
        <v>38</v>
      </c>
      <c r="B25" s="41" t="s">
        <v>39</v>
      </c>
      <c r="C25" s="41" t="s">
        <v>38</v>
      </c>
      <c r="D25" s="41" t="s">
        <v>39</v>
      </c>
      <c r="E25" s="41" t="s">
        <v>38</v>
      </c>
      <c r="F25" s="41" t="s">
        <v>39</v>
      </c>
      <c r="G25" s="41" t="s">
        <v>38</v>
      </c>
      <c r="H25" s="41" t="s">
        <v>39</v>
      </c>
      <c r="I25" s="4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3">
        <v>45803.0</v>
      </c>
      <c r="B26" s="54">
        <v>240000.0</v>
      </c>
      <c r="C26" s="43">
        <v>45810.0</v>
      </c>
      <c r="D26" s="44">
        <v>240000.0</v>
      </c>
      <c r="E26" s="43">
        <v>45817.0</v>
      </c>
      <c r="F26" s="44">
        <v>240000.0</v>
      </c>
      <c r="G26" s="43">
        <v>45824.0</v>
      </c>
      <c r="H26" s="45">
        <v>240000.0</v>
      </c>
      <c r="I26" s="46">
        <f>B32+D32+F32+H32</f>
        <v>960000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3">
        <v>45804.0</v>
      </c>
      <c r="B27" s="47"/>
      <c r="C27" s="43">
        <v>45811.0</v>
      </c>
      <c r="D27" s="47"/>
      <c r="E27" s="43">
        <v>45818.0</v>
      </c>
      <c r="F27" s="47"/>
      <c r="G27" s="43">
        <v>45825.0</v>
      </c>
      <c r="H27" s="4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3">
        <v>45805.0</v>
      </c>
      <c r="B28" s="47"/>
      <c r="C28" s="43">
        <v>45812.0</v>
      </c>
      <c r="D28" s="47"/>
      <c r="E28" s="43">
        <v>45819.0</v>
      </c>
      <c r="F28" s="47"/>
      <c r="G28" s="43">
        <v>45826.0</v>
      </c>
      <c r="H28" s="4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3">
        <v>45806.0</v>
      </c>
      <c r="B29" s="47"/>
      <c r="C29" s="43">
        <v>45813.0</v>
      </c>
      <c r="D29" s="47"/>
      <c r="E29" s="43">
        <v>45820.0</v>
      </c>
      <c r="F29" s="47"/>
      <c r="G29" s="43">
        <v>45827.0</v>
      </c>
      <c r="H29" s="4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3">
        <v>45807.0</v>
      </c>
      <c r="B30" s="47"/>
      <c r="C30" s="43">
        <v>45814.0</v>
      </c>
      <c r="D30" s="47"/>
      <c r="E30" s="43">
        <v>45821.0</v>
      </c>
      <c r="F30" s="47"/>
      <c r="G30" s="43">
        <v>45828.0</v>
      </c>
      <c r="H30" s="4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3">
        <v>45808.0</v>
      </c>
      <c r="B31" s="47"/>
      <c r="C31" s="43">
        <v>45815.0</v>
      </c>
      <c r="D31" s="47"/>
      <c r="E31" s="43">
        <v>45822.0</v>
      </c>
      <c r="F31" s="47"/>
      <c r="G31" s="43">
        <v>45829.0</v>
      </c>
      <c r="H31" s="4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/>
      <c r="B32" s="49">
        <f>SUM(B26:B31)</f>
        <v>240000</v>
      </c>
      <c r="C32" s="50"/>
      <c r="D32" s="49">
        <f>SUM(D26:D31)</f>
        <v>240000</v>
      </c>
      <c r="E32" s="50"/>
      <c r="F32" s="49">
        <f>SUM(F26:F31)</f>
        <v>240000</v>
      </c>
      <c r="G32" s="50"/>
      <c r="H32" s="49">
        <f>SUM(H26:H31)</f>
        <v>240000</v>
      </c>
      <c r="I32" s="51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5"/>
      <c r="B33" s="52"/>
      <c r="C33" s="25"/>
      <c r="D33" s="52"/>
      <c r="E33" s="25"/>
      <c r="F33" s="52"/>
      <c r="G33" s="25"/>
      <c r="H33" s="52"/>
      <c r="I33" s="53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1" t="s">
        <v>38</v>
      </c>
      <c r="B35" s="41" t="s">
        <v>39</v>
      </c>
      <c r="C35" s="41" t="s">
        <v>38</v>
      </c>
      <c r="D35" s="41" t="s">
        <v>39</v>
      </c>
      <c r="E35" s="41" t="s">
        <v>38</v>
      </c>
      <c r="F35" s="41" t="s">
        <v>39</v>
      </c>
      <c r="G35" s="41" t="s">
        <v>38</v>
      </c>
      <c r="H35" s="41" t="s">
        <v>39</v>
      </c>
      <c r="I35" s="4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3">
        <v>45831.0</v>
      </c>
      <c r="B36" s="54">
        <v>240000.0</v>
      </c>
      <c r="C36" s="43">
        <v>45838.0</v>
      </c>
      <c r="D36" s="44">
        <v>240000.0</v>
      </c>
      <c r="E36" s="43">
        <v>45845.0</v>
      </c>
      <c r="F36" s="44">
        <v>240000.0</v>
      </c>
      <c r="G36" s="43">
        <v>45852.0</v>
      </c>
      <c r="H36" s="45">
        <v>240000.0</v>
      </c>
      <c r="I36" s="46">
        <f>B42+D42+F42+H42</f>
        <v>960000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3">
        <v>45832.0</v>
      </c>
      <c r="B37" s="47"/>
      <c r="C37" s="43">
        <v>45839.0</v>
      </c>
      <c r="D37" s="47"/>
      <c r="E37" s="43">
        <v>45846.0</v>
      </c>
      <c r="F37" s="47"/>
      <c r="G37" s="43">
        <v>45853.0</v>
      </c>
      <c r="H37" s="4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3">
        <v>45833.0</v>
      </c>
      <c r="B38" s="47"/>
      <c r="C38" s="43">
        <v>45840.0</v>
      </c>
      <c r="D38" s="47"/>
      <c r="E38" s="43">
        <v>45847.0</v>
      </c>
      <c r="F38" s="47"/>
      <c r="G38" s="43">
        <v>45854.0</v>
      </c>
      <c r="H38" s="4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3">
        <v>45834.0</v>
      </c>
      <c r="B39" s="47"/>
      <c r="C39" s="43">
        <v>45841.0</v>
      </c>
      <c r="D39" s="47"/>
      <c r="E39" s="43">
        <v>45848.0</v>
      </c>
      <c r="F39" s="47"/>
      <c r="G39" s="43">
        <v>45855.0</v>
      </c>
      <c r="H39" s="4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3">
        <v>45835.0</v>
      </c>
      <c r="B40" s="47"/>
      <c r="C40" s="43">
        <v>45842.0</v>
      </c>
      <c r="D40" s="47"/>
      <c r="E40" s="43">
        <v>45849.0</v>
      </c>
      <c r="F40" s="47"/>
      <c r="G40" s="43">
        <v>45856.0</v>
      </c>
      <c r="H40" s="4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3">
        <v>45836.0</v>
      </c>
      <c r="B41" s="47"/>
      <c r="C41" s="43">
        <v>45843.0</v>
      </c>
      <c r="D41" s="47"/>
      <c r="E41" s="43">
        <v>45850.0</v>
      </c>
      <c r="F41" s="47"/>
      <c r="G41" s="43">
        <v>45857.0</v>
      </c>
      <c r="H41" s="4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9"/>
      <c r="B42" s="49">
        <f>SUM(B36:B41)</f>
        <v>240000</v>
      </c>
      <c r="C42" s="50"/>
      <c r="D42" s="49">
        <f>SUM(D36:D41)</f>
        <v>240000</v>
      </c>
      <c r="E42" s="50"/>
      <c r="F42" s="49">
        <f>SUM(F36:F41)</f>
        <v>240000</v>
      </c>
      <c r="G42" s="50"/>
      <c r="H42" s="49">
        <f>SUM(H36:H41)</f>
        <v>240000</v>
      </c>
      <c r="I42" s="51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"/>
      <c r="B43" s="52"/>
      <c r="C43" s="25"/>
      <c r="D43" s="52"/>
      <c r="E43" s="25"/>
      <c r="F43" s="52"/>
      <c r="G43" s="25"/>
      <c r="H43" s="52"/>
      <c r="I43" s="53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1" t="s">
        <v>38</v>
      </c>
      <c r="B45" s="41" t="s">
        <v>39</v>
      </c>
      <c r="C45" s="41" t="s">
        <v>38</v>
      </c>
      <c r="D45" s="41" t="s">
        <v>39</v>
      </c>
      <c r="E45" s="41" t="s">
        <v>38</v>
      </c>
      <c r="F45" s="41" t="s">
        <v>39</v>
      </c>
      <c r="G45" s="41" t="s">
        <v>38</v>
      </c>
      <c r="H45" s="41" t="s">
        <v>39</v>
      </c>
      <c r="I45" s="4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3">
        <v>45859.0</v>
      </c>
      <c r="B46" s="54">
        <v>240000.0</v>
      </c>
      <c r="C46" s="43">
        <v>45866.0</v>
      </c>
      <c r="D46" s="44">
        <v>240000.0</v>
      </c>
      <c r="E46" s="43">
        <v>45873.0</v>
      </c>
      <c r="F46" s="44">
        <v>240000.0</v>
      </c>
      <c r="G46" s="43">
        <v>45880.0</v>
      </c>
      <c r="H46" s="44">
        <v>240000.0</v>
      </c>
      <c r="I46" s="46">
        <f>B52+D52+F52+H52</f>
        <v>960000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3">
        <v>45860.0</v>
      </c>
      <c r="B47" s="47"/>
      <c r="C47" s="43">
        <v>45867.0</v>
      </c>
      <c r="D47" s="47"/>
      <c r="E47" s="43">
        <v>45874.0</v>
      </c>
      <c r="F47" s="47"/>
      <c r="G47" s="43">
        <v>45881.0</v>
      </c>
      <c r="H47" s="4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3">
        <v>45861.0</v>
      </c>
      <c r="B48" s="47"/>
      <c r="C48" s="43">
        <v>45868.0</v>
      </c>
      <c r="D48" s="47"/>
      <c r="E48" s="43">
        <v>45875.0</v>
      </c>
      <c r="F48" s="47"/>
      <c r="G48" s="43">
        <v>45882.0</v>
      </c>
      <c r="H48" s="4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3">
        <v>45862.0</v>
      </c>
      <c r="B49" s="47"/>
      <c r="C49" s="43">
        <v>45869.0</v>
      </c>
      <c r="D49" s="47"/>
      <c r="E49" s="43">
        <v>45876.0</v>
      </c>
      <c r="F49" s="47"/>
      <c r="G49" s="43">
        <v>45883.0</v>
      </c>
      <c r="H49" s="4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3">
        <v>45863.0</v>
      </c>
      <c r="B50" s="47"/>
      <c r="C50" s="43">
        <v>45870.0</v>
      </c>
      <c r="D50" s="47"/>
      <c r="E50" s="43">
        <v>45877.0</v>
      </c>
      <c r="F50" s="47"/>
      <c r="G50" s="43">
        <v>45884.0</v>
      </c>
      <c r="H50" s="4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3">
        <v>45864.0</v>
      </c>
      <c r="B51" s="47"/>
      <c r="C51" s="43">
        <v>45871.0</v>
      </c>
      <c r="D51" s="47"/>
      <c r="E51" s="43">
        <v>45878.0</v>
      </c>
      <c r="F51" s="47"/>
      <c r="G51" s="43">
        <v>45885.0</v>
      </c>
      <c r="H51" s="4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/>
      <c r="B52" s="49">
        <f>SUM(B46:B51)</f>
        <v>240000</v>
      </c>
      <c r="C52" s="50"/>
      <c r="D52" s="49">
        <f>SUM(D46:D51)</f>
        <v>240000</v>
      </c>
      <c r="E52" s="50"/>
      <c r="F52" s="49">
        <f>SUM(F46:F51)</f>
        <v>240000</v>
      </c>
      <c r="G52" s="50"/>
      <c r="H52" s="49">
        <f>SUM(H46:H51)</f>
        <v>240000</v>
      </c>
      <c r="I52" s="51">
        <v>4.0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5"/>
      <c r="B53" s="52"/>
      <c r="C53" s="25"/>
      <c r="D53" s="52"/>
      <c r="E53" s="25"/>
      <c r="F53" s="52"/>
      <c r="G53" s="25"/>
      <c r="H53" s="52"/>
      <c r="I53" s="53">
        <v>1.0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1" t="s">
        <v>38</v>
      </c>
      <c r="B55" s="41" t="s">
        <v>39</v>
      </c>
      <c r="C55" s="41" t="s">
        <v>38</v>
      </c>
      <c r="D55" s="41" t="s">
        <v>39</v>
      </c>
      <c r="E55" s="41" t="s">
        <v>38</v>
      </c>
      <c r="F55" s="41" t="s">
        <v>39</v>
      </c>
      <c r="G55" s="41" t="s">
        <v>38</v>
      </c>
      <c r="H55" s="41" t="s">
        <v>39</v>
      </c>
      <c r="I55" s="4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3">
        <v>45880.0</v>
      </c>
      <c r="B56" s="44">
        <v>240000.0</v>
      </c>
      <c r="C56" s="55">
        <v>45887.0</v>
      </c>
      <c r="D56" s="56">
        <v>240000.0</v>
      </c>
      <c r="E56" s="57">
        <v>45894.0</v>
      </c>
      <c r="F56" s="56">
        <v>240000.0</v>
      </c>
      <c r="G56" s="55">
        <v>45901.0</v>
      </c>
      <c r="H56" s="56">
        <v>240000.0</v>
      </c>
      <c r="I56" s="46">
        <f>B62+D62+F62+H62</f>
        <v>960000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3">
        <v>45881.0</v>
      </c>
      <c r="B57" s="47"/>
      <c r="C57" s="55">
        <v>45888.0</v>
      </c>
      <c r="D57" s="47"/>
      <c r="E57" s="57">
        <v>45895.0</v>
      </c>
      <c r="F57" s="47"/>
      <c r="G57" s="55">
        <v>45902.0</v>
      </c>
      <c r="H57" s="4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3">
        <v>45882.0</v>
      </c>
      <c r="B58" s="47"/>
      <c r="C58" s="55">
        <v>45889.0</v>
      </c>
      <c r="D58" s="47"/>
      <c r="E58" s="57">
        <v>45896.0</v>
      </c>
      <c r="F58" s="47"/>
      <c r="G58" s="55">
        <v>45903.0</v>
      </c>
      <c r="H58" s="4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3">
        <v>45883.0</v>
      </c>
      <c r="B59" s="47"/>
      <c r="C59" s="55">
        <v>45890.0</v>
      </c>
      <c r="D59" s="47"/>
      <c r="E59" s="57">
        <v>45897.0</v>
      </c>
      <c r="F59" s="47"/>
      <c r="G59" s="55">
        <v>45904.0</v>
      </c>
      <c r="H59" s="4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3">
        <v>45884.0</v>
      </c>
      <c r="B60" s="47"/>
      <c r="C60" s="55">
        <v>45891.0</v>
      </c>
      <c r="D60" s="47"/>
      <c r="E60" s="57">
        <v>45898.0</v>
      </c>
      <c r="F60" s="47"/>
      <c r="G60" s="55">
        <v>45905.0</v>
      </c>
      <c r="H60" s="4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3">
        <v>45885.0</v>
      </c>
      <c r="B61" s="47"/>
      <c r="C61" s="55">
        <v>45892.0</v>
      </c>
      <c r="D61" s="47"/>
      <c r="E61" s="57">
        <v>45899.0</v>
      </c>
      <c r="F61" s="47"/>
      <c r="G61" s="55">
        <v>45906.0</v>
      </c>
      <c r="H61" s="4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9"/>
      <c r="B62" s="49">
        <f>SUM(B56:B61)</f>
        <v>240000</v>
      </c>
      <c r="C62" s="50"/>
      <c r="D62" s="49">
        <f>SUM(D56:D61)</f>
        <v>240000</v>
      </c>
      <c r="E62" s="50"/>
      <c r="F62" s="49">
        <f>SUM(F56:F61)</f>
        <v>240000</v>
      </c>
      <c r="G62" s="50"/>
      <c r="H62" s="49">
        <f>SUM(H56:H61)</f>
        <v>240000</v>
      </c>
      <c r="I62" s="51">
        <v>5.0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5"/>
      <c r="B63" s="52"/>
      <c r="C63" s="25"/>
      <c r="D63" s="52"/>
      <c r="E63" s="25"/>
      <c r="F63" s="52"/>
      <c r="G63" s="25"/>
      <c r="H63" s="52"/>
      <c r="I63" s="53">
        <v>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1" t="s">
        <v>38</v>
      </c>
      <c r="B65" s="41" t="s">
        <v>39</v>
      </c>
      <c r="C65" s="41" t="s">
        <v>38</v>
      </c>
      <c r="D65" s="41" t="s">
        <v>39</v>
      </c>
      <c r="E65" s="41" t="s">
        <v>38</v>
      </c>
      <c r="F65" s="41" t="s">
        <v>39</v>
      </c>
      <c r="G65" s="41" t="s">
        <v>38</v>
      </c>
      <c r="H65" s="41" t="s">
        <v>39</v>
      </c>
      <c r="I65" s="4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7">
        <v>45908.0</v>
      </c>
      <c r="B66" s="56">
        <v>240000.0</v>
      </c>
      <c r="C66" s="57">
        <v>45915.0</v>
      </c>
      <c r="D66" s="47"/>
      <c r="E66" s="57">
        <v>45922.0</v>
      </c>
      <c r="F66" s="47"/>
      <c r="G66" s="57">
        <v>45929.0</v>
      </c>
      <c r="H66" s="47"/>
      <c r="I66" s="46">
        <f>B72+D72+F72+H72</f>
        <v>960000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7">
        <v>45909.0</v>
      </c>
      <c r="B67" s="47"/>
      <c r="C67" s="57">
        <v>45916.0</v>
      </c>
      <c r="D67" s="47"/>
      <c r="E67" s="57">
        <v>45923.0</v>
      </c>
      <c r="F67" s="47"/>
      <c r="G67" s="57">
        <v>45930.0</v>
      </c>
      <c r="H67" s="4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7">
        <v>45910.0</v>
      </c>
      <c r="B68" s="47"/>
      <c r="C68" s="57">
        <v>45917.0</v>
      </c>
      <c r="D68" s="56">
        <v>240000.0</v>
      </c>
      <c r="E68" s="57">
        <v>45924.0</v>
      </c>
      <c r="F68" s="56">
        <v>240000.0</v>
      </c>
      <c r="G68" s="57">
        <v>45931.0</v>
      </c>
      <c r="H68" s="56">
        <v>240000.0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7">
        <v>45911.0</v>
      </c>
      <c r="B69" s="47"/>
      <c r="C69" s="57">
        <v>45918.0</v>
      </c>
      <c r="D69" s="47"/>
      <c r="E69" s="57">
        <v>45925.0</v>
      </c>
      <c r="F69" s="47"/>
      <c r="G69" s="57">
        <v>45932.0</v>
      </c>
      <c r="H69" s="4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7">
        <v>45912.0</v>
      </c>
      <c r="B70" s="47"/>
      <c r="C70" s="57">
        <v>45919.0</v>
      </c>
      <c r="D70" s="47"/>
      <c r="E70" s="57">
        <v>45926.0</v>
      </c>
      <c r="F70" s="47"/>
      <c r="G70" s="57">
        <v>45933.0</v>
      </c>
      <c r="H70" s="4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7">
        <v>45913.0</v>
      </c>
      <c r="B71" s="47"/>
      <c r="C71" s="57">
        <v>45920.0</v>
      </c>
      <c r="D71" s="47"/>
      <c r="E71" s="57">
        <v>45927.0</v>
      </c>
      <c r="F71" s="47"/>
      <c r="G71" s="57">
        <v>45934.0</v>
      </c>
      <c r="H71" s="4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8"/>
      <c r="B72" s="59">
        <f>B66</f>
        <v>240000</v>
      </c>
      <c r="C72" s="58"/>
      <c r="D72" s="59">
        <f>D68</f>
        <v>240000</v>
      </c>
      <c r="E72" s="58"/>
      <c r="F72" s="59">
        <f>F68</f>
        <v>240000</v>
      </c>
      <c r="G72" s="58"/>
      <c r="H72" s="59">
        <f>H68</f>
        <v>240000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0"/>
      <c r="B73" s="61"/>
      <c r="C73" s="60"/>
      <c r="D73" s="61"/>
      <c r="E73" s="60"/>
      <c r="F73" s="61"/>
      <c r="G73" s="60"/>
      <c r="H73" s="61"/>
      <c r="I73" s="51">
        <v>6.0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5"/>
      <c r="B74" s="52"/>
      <c r="C74" s="25"/>
      <c r="D74" s="52"/>
      <c r="E74" s="25"/>
      <c r="F74" s="52"/>
      <c r="G74" s="25"/>
      <c r="H74" s="52"/>
      <c r="I74" s="53">
        <v>1.0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1" t="s">
        <v>38</v>
      </c>
      <c r="B76" s="41" t="s">
        <v>39</v>
      </c>
      <c r="C76" s="41" t="s">
        <v>38</v>
      </c>
      <c r="D76" s="41" t="s">
        <v>39</v>
      </c>
      <c r="E76" s="41" t="s">
        <v>38</v>
      </c>
      <c r="F76" s="41" t="s">
        <v>39</v>
      </c>
      <c r="G76" s="41" t="s">
        <v>38</v>
      </c>
      <c r="H76" s="41" t="s">
        <v>39</v>
      </c>
      <c r="I76" s="4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7">
        <v>45936.0</v>
      </c>
      <c r="B77" s="62"/>
      <c r="C77" s="57">
        <v>45943.0</v>
      </c>
      <c r="D77" s="47"/>
      <c r="E77" s="57">
        <v>45950.0</v>
      </c>
      <c r="F77" s="47"/>
      <c r="G77" s="57">
        <v>45957.0</v>
      </c>
      <c r="H77" s="47"/>
      <c r="I77" s="46">
        <f>B83+D83+F83+H83</f>
        <v>960000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7">
        <v>45937.0</v>
      </c>
      <c r="B78" s="47"/>
      <c r="C78" s="57">
        <v>45944.0</v>
      </c>
      <c r="D78" s="47"/>
      <c r="E78" s="57">
        <v>45951.0</v>
      </c>
      <c r="F78" s="47"/>
      <c r="G78" s="57">
        <v>45958.0</v>
      </c>
      <c r="H78" s="4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7">
        <v>45938.0</v>
      </c>
      <c r="B79" s="56">
        <v>240000.0</v>
      </c>
      <c r="C79" s="57">
        <v>45945.0</v>
      </c>
      <c r="D79" s="56">
        <v>240000.0</v>
      </c>
      <c r="E79" s="57">
        <v>45952.0</v>
      </c>
      <c r="F79" s="56">
        <v>240000.0</v>
      </c>
      <c r="G79" s="57">
        <v>45959.0</v>
      </c>
      <c r="H79" s="56">
        <v>240000.0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7">
        <v>45939.0</v>
      </c>
      <c r="B80" s="47"/>
      <c r="C80" s="57">
        <v>45946.0</v>
      </c>
      <c r="D80" s="47"/>
      <c r="E80" s="57">
        <v>45953.0</v>
      </c>
      <c r="F80" s="47"/>
      <c r="G80" s="57">
        <v>45960.0</v>
      </c>
      <c r="H80" s="4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7">
        <v>45940.0</v>
      </c>
      <c r="B81" s="47"/>
      <c r="C81" s="57">
        <v>45947.0</v>
      </c>
      <c r="D81" s="47"/>
      <c r="E81" s="57">
        <v>45954.0</v>
      </c>
      <c r="F81" s="47"/>
      <c r="G81" s="57">
        <v>45961.0</v>
      </c>
      <c r="H81" s="4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7">
        <v>45941.0</v>
      </c>
      <c r="B82" s="47"/>
      <c r="C82" s="57">
        <v>45948.0</v>
      </c>
      <c r="D82" s="47"/>
      <c r="E82" s="57">
        <v>45955.0</v>
      </c>
      <c r="F82" s="47"/>
      <c r="G82" s="57">
        <v>45962.0</v>
      </c>
      <c r="H82" s="4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9"/>
      <c r="B83" s="59">
        <f>B79</f>
        <v>240000</v>
      </c>
      <c r="C83" s="9"/>
      <c r="D83" s="59">
        <f>D79</f>
        <v>240000</v>
      </c>
      <c r="E83" s="9"/>
      <c r="F83" s="59">
        <f>F79</f>
        <v>240000</v>
      </c>
      <c r="G83" s="9"/>
      <c r="H83" s="63">
        <f>H79</f>
        <v>240000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5"/>
      <c r="B84" s="52"/>
      <c r="C84" s="25"/>
      <c r="D84" s="52"/>
      <c r="E84" s="25"/>
      <c r="F84" s="52"/>
      <c r="G84" s="25"/>
      <c r="H84" s="52"/>
      <c r="I84" s="51">
        <v>7.0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3">
        <v>1.0</v>
      </c>
      <c r="B85" s="53"/>
      <c r="C85" s="53"/>
      <c r="D85" s="53"/>
      <c r="E85" s="53"/>
      <c r="F85" s="53"/>
      <c r="G85" s="53"/>
      <c r="H85" s="53"/>
      <c r="I85" s="53">
        <v>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1" t="s">
        <v>38</v>
      </c>
      <c r="B86" s="41" t="s">
        <v>39</v>
      </c>
      <c r="C86" s="41" t="s">
        <v>38</v>
      </c>
      <c r="D86" s="41" t="s">
        <v>39</v>
      </c>
      <c r="E86" s="41" t="s">
        <v>38</v>
      </c>
      <c r="F86" s="41" t="s">
        <v>39</v>
      </c>
      <c r="G86" s="41" t="s">
        <v>38</v>
      </c>
      <c r="H86" s="41" t="s">
        <v>39</v>
      </c>
      <c r="I86" s="4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7">
        <v>45964.0</v>
      </c>
      <c r="B87" s="47"/>
      <c r="C87" s="57">
        <v>45971.0</v>
      </c>
      <c r="D87" s="47"/>
      <c r="E87" s="57">
        <v>45978.0</v>
      </c>
      <c r="F87" s="47"/>
      <c r="G87" s="57">
        <v>45985.0</v>
      </c>
      <c r="H87" s="62"/>
      <c r="I87" s="46">
        <f>B93+D93+F93+H93</f>
        <v>960000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7">
        <v>45965.0</v>
      </c>
      <c r="B88" s="47"/>
      <c r="C88" s="57">
        <v>45972.0</v>
      </c>
      <c r="D88" s="47"/>
      <c r="E88" s="57">
        <v>45979.0</v>
      </c>
      <c r="F88" s="47"/>
      <c r="G88" s="57">
        <v>45986.0</v>
      </c>
      <c r="H88" s="4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7">
        <v>45966.0</v>
      </c>
      <c r="B89" s="56">
        <v>240000.0</v>
      </c>
      <c r="C89" s="57">
        <v>45973.0</v>
      </c>
      <c r="D89" s="56">
        <v>240000.0</v>
      </c>
      <c r="E89" s="57">
        <v>45980.0</v>
      </c>
      <c r="F89" s="56">
        <v>240000.0</v>
      </c>
      <c r="G89" s="57">
        <v>45987.0</v>
      </c>
      <c r="H89" s="64">
        <v>240000.0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7">
        <v>45967.0</v>
      </c>
      <c r="B90" s="47"/>
      <c r="C90" s="57">
        <v>45974.0</v>
      </c>
      <c r="D90" s="47"/>
      <c r="E90" s="57">
        <v>45981.0</v>
      </c>
      <c r="F90" s="47"/>
      <c r="G90" s="57">
        <v>45988.0</v>
      </c>
      <c r="H90" s="4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7">
        <v>45968.0</v>
      </c>
      <c r="B91" s="47"/>
      <c r="C91" s="57">
        <v>45975.0</v>
      </c>
      <c r="D91" s="47"/>
      <c r="E91" s="57">
        <v>45982.0</v>
      </c>
      <c r="F91" s="47"/>
      <c r="G91" s="57">
        <v>45989.0</v>
      </c>
      <c r="H91" s="4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7">
        <v>45969.0</v>
      </c>
      <c r="B92" s="47"/>
      <c r="C92" s="57">
        <v>45976.0</v>
      </c>
      <c r="D92" s="47"/>
      <c r="E92" s="57">
        <v>45983.0</v>
      </c>
      <c r="F92" s="47"/>
      <c r="G92" s="57">
        <v>45990.0</v>
      </c>
      <c r="H92" s="4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9"/>
      <c r="B93" s="59">
        <f>B89</f>
        <v>240000</v>
      </c>
      <c r="C93" s="9"/>
      <c r="D93" s="59">
        <f>D89</f>
        <v>240000</v>
      </c>
      <c r="E93" s="9"/>
      <c r="F93" s="59">
        <f>F89</f>
        <v>240000</v>
      </c>
      <c r="G93" s="9"/>
      <c r="H93" s="63">
        <f>H89</f>
        <v>240000</v>
      </c>
      <c r="I93" s="51">
        <v>8.0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5"/>
      <c r="B94" s="52"/>
      <c r="C94" s="25"/>
      <c r="D94" s="52"/>
      <c r="E94" s="25"/>
      <c r="F94" s="52"/>
      <c r="G94" s="25"/>
      <c r="H94" s="52"/>
      <c r="I94" s="53">
        <v>1.0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1" t="s">
        <v>38</v>
      </c>
      <c r="B96" s="41" t="s">
        <v>39</v>
      </c>
      <c r="C96" s="41" t="s">
        <v>38</v>
      </c>
      <c r="D96" s="41" t="s">
        <v>39</v>
      </c>
      <c r="E96" s="41" t="s">
        <v>38</v>
      </c>
      <c r="F96" s="41" t="s">
        <v>39</v>
      </c>
      <c r="G96" s="41" t="s">
        <v>38</v>
      </c>
      <c r="H96" s="41" t="s">
        <v>39</v>
      </c>
      <c r="I96" s="4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7">
        <v>45992.0</v>
      </c>
      <c r="B97" s="56">
        <v>240000.0</v>
      </c>
      <c r="C97" s="57">
        <v>45999.0</v>
      </c>
      <c r="D97" s="56">
        <v>240000.0</v>
      </c>
      <c r="E97" s="57">
        <v>46006.0</v>
      </c>
      <c r="F97" s="56">
        <v>240000.0</v>
      </c>
      <c r="G97" s="57">
        <v>46013.0</v>
      </c>
      <c r="H97" s="56">
        <v>240000.0</v>
      </c>
      <c r="I97" s="46">
        <f>B103+D103+F103+H103</f>
        <v>960000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7">
        <v>45993.0</v>
      </c>
      <c r="B98" s="3"/>
      <c r="C98" s="57">
        <v>46000.0</v>
      </c>
      <c r="D98" s="3"/>
      <c r="E98" s="57">
        <v>46007.0</v>
      </c>
      <c r="F98" s="3"/>
      <c r="G98" s="57">
        <v>46014.0</v>
      </c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7">
        <v>45994.0</v>
      </c>
      <c r="B99" s="3"/>
      <c r="C99" s="57">
        <v>46001.0</v>
      </c>
      <c r="D99" s="62"/>
      <c r="E99" s="57">
        <v>46008.0</v>
      </c>
      <c r="F99" s="62"/>
      <c r="G99" s="57">
        <v>46015.0</v>
      </c>
      <c r="H99" s="6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7">
        <v>45995.0</v>
      </c>
      <c r="B100" s="3"/>
      <c r="C100" s="57">
        <v>46002.0</v>
      </c>
      <c r="D100" s="3"/>
      <c r="E100" s="57">
        <v>46009.0</v>
      </c>
      <c r="F100" s="3"/>
      <c r="G100" s="57">
        <v>46016.0</v>
      </c>
      <c r="H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7">
        <v>45996.0</v>
      </c>
      <c r="B101" s="3"/>
      <c r="C101" s="57">
        <v>46003.0</v>
      </c>
      <c r="D101" s="3"/>
      <c r="E101" s="57">
        <v>46010.0</v>
      </c>
      <c r="F101" s="3"/>
      <c r="G101" s="57">
        <v>46017.0</v>
      </c>
      <c r="H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7">
        <v>45997.0</v>
      </c>
      <c r="B102" s="3"/>
      <c r="C102" s="57">
        <v>46004.0</v>
      </c>
      <c r="D102" s="3"/>
      <c r="E102" s="57">
        <v>46011.0</v>
      </c>
      <c r="F102" s="3"/>
      <c r="G102" s="57">
        <v>46018.0</v>
      </c>
      <c r="H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/>
      <c r="B103" s="59">
        <f>SUM(B97:B102)</f>
        <v>240000</v>
      </c>
      <c r="C103" s="9"/>
      <c r="D103" s="59">
        <f>SUM(D97:D102)</f>
        <v>240000</v>
      </c>
      <c r="E103" s="9"/>
      <c r="F103" s="59">
        <f>SUM(F97:F102)</f>
        <v>240000</v>
      </c>
      <c r="G103" s="9"/>
      <c r="H103" s="59">
        <f>SUM(H97:H102)</f>
        <v>240000</v>
      </c>
      <c r="I103" s="51">
        <v>9.0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5"/>
      <c r="B104" s="52"/>
      <c r="C104" s="25"/>
      <c r="D104" s="52"/>
      <c r="E104" s="25"/>
      <c r="F104" s="52"/>
      <c r="G104" s="25"/>
      <c r="H104" s="52"/>
      <c r="I104" s="53">
        <v>1.0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1" t="s">
        <v>38</v>
      </c>
      <c r="B106" s="41" t="s">
        <v>39</v>
      </c>
      <c r="C106" s="41" t="s">
        <v>38</v>
      </c>
      <c r="D106" s="41" t="s">
        <v>39</v>
      </c>
      <c r="E106" s="41" t="s">
        <v>38</v>
      </c>
      <c r="F106" s="41" t="s">
        <v>39</v>
      </c>
      <c r="G106" s="41" t="s">
        <v>38</v>
      </c>
      <c r="H106" s="41" t="s">
        <v>39</v>
      </c>
      <c r="I106" s="4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7">
        <v>46020.0</v>
      </c>
      <c r="B107" s="56">
        <v>160000.0</v>
      </c>
      <c r="C107" s="57">
        <v>46027.0</v>
      </c>
      <c r="D107" s="56">
        <v>240000.0</v>
      </c>
      <c r="E107" s="57">
        <v>46034.0</v>
      </c>
      <c r="F107" s="56">
        <v>240000.0</v>
      </c>
      <c r="G107" s="57">
        <v>46041.0</v>
      </c>
      <c r="H107" s="56">
        <v>240000.0</v>
      </c>
      <c r="I107" s="46">
        <f>B113+D113+F113+H113</f>
        <v>880000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7">
        <v>46021.0</v>
      </c>
      <c r="B108" s="3"/>
      <c r="C108" s="57">
        <v>46028.0</v>
      </c>
      <c r="D108" s="3"/>
      <c r="E108" s="57">
        <v>46035.0</v>
      </c>
      <c r="F108" s="3"/>
      <c r="G108" s="57">
        <v>46042.0</v>
      </c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7">
        <v>46022.0</v>
      </c>
      <c r="B109" s="3"/>
      <c r="C109" s="57">
        <v>46029.0</v>
      </c>
      <c r="D109" s="62"/>
      <c r="E109" s="57">
        <v>46036.0</v>
      </c>
      <c r="F109" s="62"/>
      <c r="G109" s="57">
        <v>46043.0</v>
      </c>
      <c r="H109" s="6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7">
        <v>46023.0</v>
      </c>
      <c r="B110" s="3"/>
      <c r="C110" s="57">
        <v>46030.0</v>
      </c>
      <c r="D110" s="3"/>
      <c r="E110" s="57">
        <v>46037.0</v>
      </c>
      <c r="F110" s="3"/>
      <c r="G110" s="57">
        <v>46044.0</v>
      </c>
      <c r="H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7">
        <v>46024.0</v>
      </c>
      <c r="B111" s="3"/>
      <c r="C111" s="57">
        <v>46031.0</v>
      </c>
      <c r="D111" s="3"/>
      <c r="E111" s="57">
        <v>46038.0</v>
      </c>
      <c r="F111" s="3"/>
      <c r="G111" s="57">
        <v>46045.0</v>
      </c>
      <c r="H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7">
        <v>46025.0</v>
      </c>
      <c r="B112" s="3"/>
      <c r="C112" s="57">
        <v>46032.0</v>
      </c>
      <c r="D112" s="3"/>
      <c r="E112" s="57">
        <v>46039.0</v>
      </c>
      <c r="F112" s="3"/>
      <c r="G112" s="57">
        <v>46046.0</v>
      </c>
      <c r="H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9"/>
      <c r="B113" s="59">
        <f>SUM(B107:B112)</f>
        <v>160000</v>
      </c>
      <c r="C113" s="9"/>
      <c r="D113" s="59">
        <f>SUM(D107:D112)</f>
        <v>240000</v>
      </c>
      <c r="E113" s="9"/>
      <c r="F113" s="59">
        <f>SUM(F107:F112)</f>
        <v>240000</v>
      </c>
      <c r="G113" s="9"/>
      <c r="H113" s="59">
        <f>SUM(H107:H112)</f>
        <v>240000</v>
      </c>
      <c r="I113" s="51">
        <v>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5"/>
      <c r="B114" s="52"/>
      <c r="C114" s="25"/>
      <c r="D114" s="52"/>
      <c r="E114" s="25"/>
      <c r="F114" s="52"/>
      <c r="G114" s="25"/>
      <c r="H114" s="52"/>
      <c r="I114" s="53">
        <v>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1" t="s">
        <v>38</v>
      </c>
      <c r="B116" s="41" t="s">
        <v>39</v>
      </c>
      <c r="C116" s="41" t="s">
        <v>38</v>
      </c>
      <c r="D116" s="41" t="s">
        <v>39</v>
      </c>
      <c r="E116" s="41" t="s">
        <v>38</v>
      </c>
      <c r="F116" s="41" t="s">
        <v>39</v>
      </c>
      <c r="G116" s="41" t="s">
        <v>38</v>
      </c>
      <c r="H116" s="41" t="s">
        <v>39</v>
      </c>
      <c r="I116" s="4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7">
        <v>46048.0</v>
      </c>
      <c r="B117" s="65">
        <v>240000.0</v>
      </c>
      <c r="C117" s="57">
        <v>46055.0</v>
      </c>
      <c r="D117" s="65">
        <v>240000.0</v>
      </c>
      <c r="E117" s="57">
        <v>46062.0</v>
      </c>
      <c r="F117" s="65">
        <v>240000.0</v>
      </c>
      <c r="G117" s="57">
        <v>46069.0</v>
      </c>
      <c r="H117" s="65">
        <v>240000.0</v>
      </c>
      <c r="I117" s="66">
        <f>B123+D123+F123+H123</f>
        <v>960000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7">
        <v>46049.0</v>
      </c>
      <c r="B118" s="3"/>
      <c r="C118" s="57">
        <v>46056.0</v>
      </c>
      <c r="D118" s="3"/>
      <c r="E118" s="57">
        <v>46063.0</v>
      </c>
      <c r="F118" s="3"/>
      <c r="G118" s="57">
        <v>46070.0</v>
      </c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7">
        <v>46050.0</v>
      </c>
      <c r="B119" s="3"/>
      <c r="C119" s="57">
        <v>46057.0</v>
      </c>
      <c r="D119" s="62"/>
      <c r="E119" s="57">
        <v>46064.0</v>
      </c>
      <c r="F119" s="62"/>
      <c r="G119" s="57">
        <v>46071.0</v>
      </c>
      <c r="H119" s="6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7">
        <v>46051.0</v>
      </c>
      <c r="B120" s="3"/>
      <c r="C120" s="57">
        <v>46058.0</v>
      </c>
      <c r="D120" s="3"/>
      <c r="E120" s="57">
        <v>46065.0</v>
      </c>
      <c r="F120" s="3"/>
      <c r="G120" s="57">
        <v>46072.0</v>
      </c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7">
        <v>46052.0</v>
      </c>
      <c r="B121" s="3"/>
      <c r="C121" s="57">
        <v>46059.0</v>
      </c>
      <c r="D121" s="3"/>
      <c r="E121" s="57">
        <v>46066.0</v>
      </c>
      <c r="F121" s="3"/>
      <c r="G121" s="57">
        <v>46073.0</v>
      </c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7">
        <v>46053.0</v>
      </c>
      <c r="B122" s="3"/>
      <c r="C122" s="57">
        <v>46060.0</v>
      </c>
      <c r="D122" s="3"/>
      <c r="E122" s="57">
        <v>46067.0</v>
      </c>
      <c r="F122" s="3"/>
      <c r="G122" s="57">
        <v>46074.0</v>
      </c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9"/>
      <c r="B123" s="59">
        <f>SUM(B117:B122)</f>
        <v>240000</v>
      </c>
      <c r="C123" s="9"/>
      <c r="D123" s="59">
        <f>SUM(D117:D122)</f>
        <v>240000</v>
      </c>
      <c r="E123" s="9"/>
      <c r="F123" s="59">
        <f>SUM(F117:F122)</f>
        <v>240000</v>
      </c>
      <c r="G123" s="9"/>
      <c r="H123" s="59">
        <f>SUM(H117:H122)</f>
        <v>240000</v>
      </c>
      <c r="I123" s="51">
        <v>11.0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5"/>
      <c r="B124" s="52"/>
      <c r="C124" s="25"/>
      <c r="D124" s="52"/>
      <c r="E124" s="25"/>
      <c r="F124" s="52"/>
      <c r="G124" s="25"/>
      <c r="H124" s="52"/>
      <c r="I124" s="53">
        <v>1.0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1" t="s">
        <v>38</v>
      </c>
      <c r="B126" s="41" t="s">
        <v>39</v>
      </c>
      <c r="C126" s="41" t="s">
        <v>38</v>
      </c>
      <c r="D126" s="41" t="s">
        <v>39</v>
      </c>
      <c r="E126" s="41" t="s">
        <v>38</v>
      </c>
      <c r="F126" s="41" t="s">
        <v>39</v>
      </c>
      <c r="G126" s="41" t="s">
        <v>38</v>
      </c>
      <c r="H126" s="41" t="s">
        <v>39</v>
      </c>
      <c r="I126" s="4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7">
        <v>46076.0</v>
      </c>
      <c r="B127" s="65">
        <v>240000.0</v>
      </c>
      <c r="C127" s="67">
        <v>46083.0</v>
      </c>
      <c r="D127" s="65">
        <v>240000.0</v>
      </c>
      <c r="E127" s="67">
        <v>46090.0</v>
      </c>
      <c r="F127" s="65">
        <v>240000.0</v>
      </c>
      <c r="G127" s="67">
        <v>46097.0</v>
      </c>
      <c r="H127" s="65">
        <v>240000.0</v>
      </c>
      <c r="I127" s="66">
        <f>B133+D133+F133+H133</f>
        <v>960000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7">
        <v>46077.0</v>
      </c>
      <c r="B128" s="3"/>
      <c r="C128" s="67">
        <v>46084.0</v>
      </c>
      <c r="D128" s="3"/>
      <c r="E128" s="67">
        <v>46091.0</v>
      </c>
      <c r="F128" s="3"/>
      <c r="G128" s="67">
        <v>46098.0</v>
      </c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7">
        <v>46078.0</v>
      </c>
      <c r="B129" s="3"/>
      <c r="C129" s="67">
        <v>46085.0</v>
      </c>
      <c r="D129" s="62"/>
      <c r="E129" s="67">
        <v>46092.0</v>
      </c>
      <c r="F129" s="62"/>
      <c r="G129" s="67">
        <v>46099.0</v>
      </c>
      <c r="H129" s="6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7">
        <v>46079.0</v>
      </c>
      <c r="B130" s="3"/>
      <c r="C130" s="67">
        <v>46086.0</v>
      </c>
      <c r="D130" s="3"/>
      <c r="E130" s="67">
        <v>46093.0</v>
      </c>
      <c r="F130" s="3"/>
      <c r="G130" s="67">
        <v>46100.0</v>
      </c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7">
        <v>46080.0</v>
      </c>
      <c r="B131" s="3"/>
      <c r="C131" s="67">
        <v>46087.0</v>
      </c>
      <c r="D131" s="3"/>
      <c r="E131" s="67">
        <v>46094.0</v>
      </c>
      <c r="F131" s="3"/>
      <c r="G131" s="67">
        <v>46101.0</v>
      </c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7">
        <v>46081.0</v>
      </c>
      <c r="B132" s="3"/>
      <c r="C132" s="67">
        <v>46088.0</v>
      </c>
      <c r="D132" s="3"/>
      <c r="E132" s="67">
        <v>46095.0</v>
      </c>
      <c r="F132" s="3"/>
      <c r="G132" s="67">
        <v>46102.0</v>
      </c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9"/>
      <c r="B133" s="59">
        <f>SUM(B127:B132)</f>
        <v>240000</v>
      </c>
      <c r="C133" s="9"/>
      <c r="D133" s="59">
        <f>SUM(D127:D132)</f>
        <v>240000</v>
      </c>
      <c r="E133" s="9"/>
      <c r="F133" s="59">
        <f>SUM(F127:F132)</f>
        <v>240000</v>
      </c>
      <c r="G133" s="9"/>
      <c r="H133" s="59">
        <f>SUM(H127:H132)</f>
        <v>240000</v>
      </c>
      <c r="I133" s="51">
        <v>12.0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5"/>
      <c r="B134" s="52"/>
      <c r="C134" s="25"/>
      <c r="D134" s="52"/>
      <c r="E134" s="25"/>
      <c r="F134" s="52"/>
      <c r="G134" s="25"/>
      <c r="H134" s="52"/>
      <c r="I134" s="68">
        <v>1.0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1"/>
      <c r="B136" s="41"/>
      <c r="C136" s="41"/>
      <c r="D136" s="41"/>
      <c r="E136" s="41"/>
      <c r="F136" s="41"/>
      <c r="G136" s="41"/>
      <c r="H136" s="41"/>
      <c r="I136" s="4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7">
        <v>46104.0</v>
      </c>
      <c r="B137" s="65">
        <v>240000.0</v>
      </c>
      <c r="C137" s="67">
        <v>46111.0</v>
      </c>
      <c r="D137" s="65">
        <v>240000.0</v>
      </c>
      <c r="E137" s="67">
        <v>46118.0</v>
      </c>
      <c r="F137" s="65">
        <v>240000.0</v>
      </c>
      <c r="G137" s="67">
        <v>46125.0</v>
      </c>
      <c r="H137" s="65">
        <v>240000.0</v>
      </c>
      <c r="I137" s="66">
        <f>B143+D143+F143+H143</f>
        <v>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7">
        <v>46105.0</v>
      </c>
      <c r="B138" s="3"/>
      <c r="C138" s="67">
        <v>46112.0</v>
      </c>
      <c r="D138" s="3"/>
      <c r="E138" s="67">
        <v>46119.0</v>
      </c>
      <c r="F138" s="3"/>
      <c r="G138" s="67">
        <v>46126.0</v>
      </c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7">
        <v>46106.0</v>
      </c>
      <c r="B139" s="3"/>
      <c r="C139" s="67">
        <v>46113.0</v>
      </c>
      <c r="D139" s="62"/>
      <c r="E139" s="67">
        <v>46120.0</v>
      </c>
      <c r="F139" s="62"/>
      <c r="G139" s="67">
        <v>46127.0</v>
      </c>
      <c r="H139" s="6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7">
        <v>46107.0</v>
      </c>
      <c r="B140" s="3"/>
      <c r="C140" s="67">
        <v>46114.0</v>
      </c>
      <c r="D140" s="3"/>
      <c r="E140" s="67">
        <v>46121.0</v>
      </c>
      <c r="F140" s="3"/>
      <c r="G140" s="67">
        <v>46128.0</v>
      </c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7">
        <v>46108.0</v>
      </c>
      <c r="B141" s="3"/>
      <c r="C141" s="67">
        <v>46115.0</v>
      </c>
      <c r="D141" s="3"/>
      <c r="E141" s="67">
        <v>46122.0</v>
      </c>
      <c r="F141" s="3"/>
      <c r="G141" s="67">
        <v>46129.0</v>
      </c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7">
        <v>46109.0</v>
      </c>
      <c r="B142" s="3"/>
      <c r="C142" s="67">
        <v>46116.0</v>
      </c>
      <c r="D142" s="3"/>
      <c r="E142" s="67">
        <v>46123.0</v>
      </c>
      <c r="F142" s="3"/>
      <c r="G142" s="67">
        <v>46130.0</v>
      </c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9"/>
      <c r="B143" s="59">
        <f>SUM(B137:B142)</f>
        <v>240000</v>
      </c>
      <c r="C143" s="9"/>
      <c r="D143" s="59">
        <f>SUM(D137:D142)</f>
        <v>240000</v>
      </c>
      <c r="E143" s="9"/>
      <c r="F143" s="59">
        <f>SUM(F137:F142)</f>
        <v>240000</v>
      </c>
      <c r="G143" s="9"/>
      <c r="H143" s="59">
        <f>SUM(H137:H142)</f>
        <v>240000</v>
      </c>
      <c r="I143" s="51">
        <v>13.0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5"/>
      <c r="B144" s="52"/>
      <c r="C144" s="25"/>
      <c r="D144" s="52"/>
      <c r="E144" s="25"/>
      <c r="F144" s="52"/>
      <c r="G144" s="25"/>
      <c r="H144" s="52"/>
      <c r="I144" s="68">
        <v>1.0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1"/>
      <c r="B146" s="41"/>
      <c r="C146" s="41"/>
      <c r="D146" s="41"/>
      <c r="E146" s="41"/>
      <c r="F146" s="41"/>
      <c r="G146" s="41"/>
      <c r="H146" s="41"/>
      <c r="I146" s="4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7">
        <v>46132.0</v>
      </c>
      <c r="B147" s="69">
        <v>240000.0</v>
      </c>
      <c r="C147" s="67">
        <v>46139.0</v>
      </c>
      <c r="D147" s="69">
        <v>240000.0</v>
      </c>
      <c r="E147" s="67">
        <v>46146.0</v>
      </c>
      <c r="F147" s="69">
        <v>240000.0</v>
      </c>
      <c r="G147" s="67">
        <v>46153.0</v>
      </c>
      <c r="H147" s="69">
        <v>240000.0</v>
      </c>
      <c r="I147" s="66">
        <f>B153+D153+F153+H153</f>
        <v>960000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7">
        <v>46133.0</v>
      </c>
      <c r="B148" s="3"/>
      <c r="C148" s="67">
        <v>46140.0</v>
      </c>
      <c r="D148" s="3"/>
      <c r="E148" s="67">
        <v>46147.0</v>
      </c>
      <c r="F148" s="3"/>
      <c r="G148" s="67">
        <v>46154.0</v>
      </c>
      <c r="H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7">
        <v>46134.0</v>
      </c>
      <c r="B149" s="3"/>
      <c r="C149" s="67">
        <v>46141.0</v>
      </c>
      <c r="D149" s="62"/>
      <c r="E149" s="67">
        <v>46148.0</v>
      </c>
      <c r="F149" s="62"/>
      <c r="G149" s="67">
        <v>46155.0</v>
      </c>
      <c r="H149" s="6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7">
        <v>46135.0</v>
      </c>
      <c r="B150" s="3"/>
      <c r="C150" s="67">
        <v>46142.0</v>
      </c>
      <c r="D150" s="3"/>
      <c r="E150" s="67">
        <v>46149.0</v>
      </c>
      <c r="F150" s="3"/>
      <c r="G150" s="67">
        <v>46156.0</v>
      </c>
      <c r="H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7">
        <v>46136.0</v>
      </c>
      <c r="B151" s="3"/>
      <c r="C151" s="67">
        <v>46143.0</v>
      </c>
      <c r="D151" s="3"/>
      <c r="E151" s="67">
        <v>46150.0</v>
      </c>
      <c r="F151" s="3"/>
      <c r="G151" s="67">
        <v>46157.0</v>
      </c>
      <c r="H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7">
        <v>46137.0</v>
      </c>
      <c r="B152" s="3"/>
      <c r="C152" s="67">
        <v>46144.0</v>
      </c>
      <c r="D152" s="3"/>
      <c r="E152" s="67">
        <v>46151.0</v>
      </c>
      <c r="F152" s="3"/>
      <c r="G152" s="67">
        <v>46158.0</v>
      </c>
      <c r="H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9"/>
      <c r="B153" s="59">
        <f>SUM(B147:B152)</f>
        <v>240000</v>
      </c>
      <c r="C153" s="9"/>
      <c r="D153" s="59">
        <f>SUM(D147:D152)</f>
        <v>240000</v>
      </c>
      <c r="E153" s="9"/>
      <c r="F153" s="59">
        <f>SUM(F147:F152)</f>
        <v>240000</v>
      </c>
      <c r="G153" s="9"/>
      <c r="H153" s="59">
        <f>SUM(H147:H152)</f>
        <v>240000</v>
      </c>
      <c r="I153" s="51">
        <v>14.0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5"/>
      <c r="B154" s="52"/>
      <c r="C154" s="25"/>
      <c r="D154" s="52"/>
      <c r="E154" s="25"/>
      <c r="F154" s="52"/>
      <c r="G154" s="25"/>
      <c r="H154" s="52"/>
      <c r="I154" s="68">
        <v>1.0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7">
        <v>46160.0</v>
      </c>
      <c r="B157" s="69">
        <v>240000.0</v>
      </c>
      <c r="C157" s="67">
        <v>46167.0</v>
      </c>
      <c r="D157" s="56"/>
      <c r="E157" s="67">
        <v>46174.0</v>
      </c>
      <c r="F157" s="56"/>
      <c r="G157" s="67">
        <v>46181.0</v>
      </c>
      <c r="H157" s="56"/>
      <c r="I157" s="70">
        <f>B163+D163+F163+H163</f>
        <v>240000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7">
        <v>46161.0</v>
      </c>
      <c r="B158" s="3"/>
      <c r="C158" s="67">
        <v>46168.0</v>
      </c>
      <c r="D158" s="3"/>
      <c r="E158" s="67">
        <v>46175.0</v>
      </c>
      <c r="F158" s="3"/>
      <c r="G158" s="67">
        <v>46182.0</v>
      </c>
      <c r="H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7">
        <v>46162.0</v>
      </c>
      <c r="B159" s="3"/>
      <c r="C159" s="67">
        <v>46169.0</v>
      </c>
      <c r="D159" s="62"/>
      <c r="E159" s="67">
        <v>46176.0</v>
      </c>
      <c r="F159" s="62"/>
      <c r="G159" s="67">
        <v>46183.0</v>
      </c>
      <c r="H159" s="6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7">
        <v>46163.0</v>
      </c>
      <c r="B160" s="3"/>
      <c r="C160" s="67">
        <v>46170.0</v>
      </c>
      <c r="D160" s="3"/>
      <c r="E160" s="67">
        <v>46177.0</v>
      </c>
      <c r="F160" s="3"/>
      <c r="G160" s="67">
        <v>46184.0</v>
      </c>
      <c r="H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7">
        <v>46164.0</v>
      </c>
      <c r="B161" s="3"/>
      <c r="C161" s="67">
        <v>46171.0</v>
      </c>
      <c r="D161" s="3"/>
      <c r="E161" s="67">
        <v>46178.0</v>
      </c>
      <c r="F161" s="3"/>
      <c r="G161" s="67">
        <v>46185.0</v>
      </c>
      <c r="H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7">
        <v>46165.0</v>
      </c>
      <c r="B162" s="3"/>
      <c r="C162" s="67">
        <v>46172.0</v>
      </c>
      <c r="D162" s="3"/>
      <c r="E162" s="67">
        <v>46179.0</v>
      </c>
      <c r="F162" s="3"/>
      <c r="G162" s="67">
        <v>46186.0</v>
      </c>
      <c r="H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/>
      <c r="B163" s="59">
        <f>SUM(B157:B162)</f>
        <v>240000</v>
      </c>
      <c r="C163" s="9"/>
      <c r="D163" s="59">
        <f>SUM(D157:D162)</f>
        <v>0</v>
      </c>
      <c r="E163" s="9"/>
      <c r="F163" s="59">
        <f>SUM(F157:F162)</f>
        <v>0</v>
      </c>
      <c r="G163" s="9"/>
      <c r="H163" s="59">
        <f>SUM(H157:H162)</f>
        <v>0</v>
      </c>
      <c r="I163" s="51">
        <v>15.0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5"/>
      <c r="B164" s="52"/>
      <c r="C164" s="25"/>
      <c r="D164" s="52"/>
      <c r="E164" s="25"/>
      <c r="F164" s="52"/>
      <c r="G164" s="25"/>
      <c r="H164" s="52"/>
      <c r="I164" s="7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40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A24:I24"/>
    <mergeCell ref="I26:I31"/>
    <mergeCell ref="A34:I34"/>
    <mergeCell ref="A44:I44"/>
    <mergeCell ref="I107:I112"/>
    <mergeCell ref="I117:I122"/>
    <mergeCell ref="I127:I132"/>
    <mergeCell ref="I137:I142"/>
    <mergeCell ref="I147:I152"/>
    <mergeCell ref="I157:I162"/>
    <mergeCell ref="I36:I41"/>
    <mergeCell ref="I46:I51"/>
    <mergeCell ref="I56:I61"/>
    <mergeCell ref="I66:I72"/>
    <mergeCell ref="I77:I83"/>
    <mergeCell ref="I87:I92"/>
    <mergeCell ref="I97:I102"/>
    <mergeCell ref="A135:I135"/>
    <mergeCell ref="A145:I145"/>
    <mergeCell ref="A155:I155"/>
    <mergeCell ref="A165:I165"/>
    <mergeCell ref="A54:I54"/>
    <mergeCell ref="A64:I64"/>
    <mergeCell ref="A75:I75"/>
    <mergeCell ref="A95:I95"/>
    <mergeCell ref="A105:I105"/>
    <mergeCell ref="A115:I115"/>
    <mergeCell ref="A125:I125"/>
  </mergeCells>
  <drawing r:id="rId1"/>
</worksheet>
</file>