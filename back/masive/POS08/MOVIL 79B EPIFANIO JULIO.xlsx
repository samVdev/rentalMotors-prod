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<sst xmlns="http://schemas.openxmlformats.org/spreadsheetml/2006/main" count="64" uniqueCount="41">
  <si>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</si>
  <si>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</si>
  <si>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</si>
  <si>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</si>
  <si>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</si>
  <si>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</si>
  <si>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</si>
  <si>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</si>
  <si>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</si>
  <si>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NKD</t>
  </si>
  <si>
    <t>AKT</t>
  </si>
  <si>
    <t>79B</t>
  </si>
  <si>
    <t xml:space="preserve"> 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</si>
  <si>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</si>
  <si>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</si>
  <si>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</si>
  <si>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</si>
  <si>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</si>
  <si>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</si>
  <si>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</si>
  <si>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</si>
  <si>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</si>
  <si>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APELLIDOS</t>
  </si>
  <si>
    <t>CEDULA</t>
  </si>
  <si>
    <t xml:space="preserve">NACIONALIDAD </t>
  </si>
  <si>
    <t>NUMERO</t>
  </si>
  <si>
    <t>SOAT</t>
  </si>
  <si>
    <t>Traspaso de propiedad</t>
  </si>
  <si>
    <t xml:space="preserve">DEUDA DE SEMANA </t>
  </si>
  <si>
    <t>EPIFANIO</t>
  </si>
  <si>
    <t>JULIO CAMPO</t>
  </si>
  <si>
    <t>COLOMBIANA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</si>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</sst>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[$$]#,##0"/>
    <numFmt numFmtId="167" formatCode="dd/mm/yyyy"/>
  </numFmts>
  <fonts count="27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sz val="12.0"/>
      <color rgb="FFFFFFFF"/>
      <name val="Nunito"/>
    </font>
    <font>
      <b/>
      <sz val="13.0"/>
      <color theme="1"/>
      <name val="Nunito"/>
    </font>
    <font>
      <b/>
      <sz val="13.0"/>
      <color theme="1"/>
      <name val="Arial"/>
    </font>
    <font>
      <b/>
      <sz val="11.0"/>
      <color rgb="FFFFFFFF"/>
      <name val="Arial"/>
    </font>
    <font>
      <b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sz val="25.0"/>
      <color theme="1"/>
      <name val="Arial"/>
    </font>
    <font>
      <color rgb="FFFFFFFF"/>
      <name val="Arial"/>
    </font>
    <font/>
    <font>
      <b/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>
      <sz val="23.0"/>
      <color theme="1"/>
      <name val="Arial"/>
    </font>
    <font>
      <b/>
      <sz val="20.0"/>
      <color theme="1"/>
      <name val="Arial"/>
    </font>
    <font>
      <sz val="11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1" fillId="3" fontId="4" numFmtId="166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3" fontId="6" numFmtId="165" xfId="0" applyAlignment="1" applyBorder="1" applyFont="1" applyNumberFormat="1">
      <alignment horizontal="center" vertical="bottom"/>
    </xf>
    <xf borderId="1" fillId="3" fontId="6" numFmtId="165" xfId="0" applyAlignment="1" applyBorder="1" applyFont="1" applyNumberFormat="1">
      <alignment horizontal="center" readingOrder="0" vertical="bottom"/>
    </xf>
    <xf borderId="1" fillId="3" fontId="6" numFmtId="4" xfId="0" applyAlignment="1" applyBorder="1" applyFont="1" applyNumberFormat="1">
      <alignment horizontal="center" vertical="bottom"/>
    </xf>
    <xf borderId="1" fillId="3" fontId="6" numFmtId="1" xfId="0" applyAlignment="1" applyBorder="1" applyFont="1" applyNumberFormat="1">
      <alignment horizontal="center" readingOrder="0" vertical="bottom"/>
    </xf>
    <xf borderId="2" fillId="3" fontId="6" numFmtId="165" xfId="0" applyAlignment="1" applyBorder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2" fillId="6" fontId="6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7" fontId="9" numFmtId="0" xfId="0" applyAlignment="1" applyFont="1">
      <alignment horizontal="center" vertical="bottom"/>
    </xf>
    <xf borderId="0" fillId="8" fontId="10" numFmtId="0" xfId="0" applyAlignment="1" applyFill="1" applyFont="1">
      <alignment horizontal="center" shrinkToFit="0" vertical="bottom" wrapText="1"/>
    </xf>
    <xf borderId="0" fillId="8" fontId="11" numFmtId="0" xfId="0" applyAlignment="1" applyFont="1">
      <alignment horizontal="center" shrinkToFit="0" vertical="bottom" wrapText="1"/>
    </xf>
    <xf borderId="0" fillId="9" fontId="12" numFmtId="0" xfId="0" applyAlignment="1" applyFill="1" applyFont="1">
      <alignment horizontal="center" readingOrder="0" vertical="bottom"/>
    </xf>
    <xf borderId="0" fillId="9" fontId="13" numFmtId="3" xfId="0" applyAlignment="1" applyFont="1" applyNumberFormat="1">
      <alignment horizontal="center" readingOrder="0" vertical="bottom"/>
    </xf>
    <xf borderId="0" fillId="9" fontId="12" numFmtId="0" xfId="0" applyAlignment="1" applyFont="1">
      <alignment horizontal="center" vertical="bottom"/>
    </xf>
    <xf borderId="0" fillId="9" fontId="14" numFmtId="0" xfId="0" applyAlignment="1" applyFont="1">
      <alignment horizontal="center" readingOrder="0" shrinkToFit="0" vertical="bottom" wrapText="1"/>
    </xf>
    <xf borderId="0" fillId="10" fontId="2" numFmtId="164" xfId="0" applyAlignment="1" applyFill="1" applyFont="1" applyNumberFormat="1">
      <alignment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5" numFmtId="0" xfId="0" applyAlignment="1" applyBorder="1" applyFont="1">
      <alignment horizontal="center" vertical="bottom"/>
    </xf>
    <xf borderId="0" fillId="5" fontId="9" numFmtId="0" xfId="0" applyAlignment="1" applyFont="1">
      <alignment horizontal="center" vertical="bottom"/>
    </xf>
    <xf borderId="0" fillId="5" fontId="16" numFmtId="0" xfId="0" applyAlignment="1" applyFont="1">
      <alignment horizontal="center" vertical="bottom"/>
    </xf>
    <xf borderId="5" fillId="0" fontId="17" numFmtId="0" xfId="0" applyBorder="1" applyFont="1"/>
    <xf borderId="0" fillId="11" fontId="18" numFmtId="164" xfId="0" applyAlignment="1" applyFont="1" applyNumberFormat="1">
      <alignment horizontal="center" readingOrder="0" vertical="bottom"/>
    </xf>
    <xf borderId="0" fillId="12" fontId="19" numFmtId="4" xfId="0" applyAlignment="1" applyFill="1" applyFont="1" applyNumberFormat="1">
      <alignment horizontal="center" vertical="bottom"/>
    </xf>
    <xf borderId="0" fillId="10" fontId="20" numFmtId="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vertical="bottom"/>
    </xf>
    <xf borderId="5" fillId="11" fontId="21" numFmtId="0" xfId="0" applyAlignment="1" applyBorder="1" applyFont="1">
      <alignment horizontal="center" vertical="bottom"/>
    </xf>
    <xf borderId="6" fillId="0" fontId="17" numFmtId="0" xfId="0" applyBorder="1" applyFont="1"/>
    <xf borderId="0" fillId="14" fontId="9" numFmtId="0" xfId="0" applyAlignment="1" applyFill="1" applyFont="1">
      <alignment vertical="bottom"/>
    </xf>
    <xf borderId="7" fillId="14" fontId="2" numFmtId="0" xfId="0" applyAlignment="1" applyBorder="1" applyFont="1">
      <alignment vertical="bottom"/>
    </xf>
    <xf borderId="8" fillId="14" fontId="2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0" fillId="15" fontId="9" numFmtId="0" xfId="0" applyAlignment="1" applyFill="1" applyFont="1">
      <alignment horizontal="center" vertical="bottom"/>
    </xf>
    <xf borderId="0" fillId="15" fontId="2" numFmtId="0" xfId="0" applyAlignment="1" applyFont="1">
      <alignment vertical="bottom"/>
    </xf>
    <xf borderId="0" fillId="11" fontId="2" numFmtId="167" xfId="0" applyAlignment="1" applyFont="1" applyNumberFormat="1">
      <alignment vertical="bottom"/>
    </xf>
    <xf borderId="0" fillId="16" fontId="22" numFmtId="164" xfId="0" applyAlignment="1" applyFill="1" applyFont="1" applyNumberFormat="1">
      <alignment horizontal="center" readingOrder="0" textRotation="45" vertical="center"/>
    </xf>
    <xf borderId="0" fillId="11" fontId="23" numFmtId="167" xfId="0" applyAlignment="1" applyFont="1" applyNumberFormat="1">
      <alignment horizontal="center" vertical="bottom"/>
    </xf>
    <xf borderId="0" fillId="11" fontId="24" numFmtId="164" xfId="0" applyAlignment="1" applyFont="1" applyNumberFormat="1">
      <alignment horizontal="center" vertical="bottom"/>
    </xf>
    <xf borderId="0" fillId="4" fontId="25" numFmtId="164" xfId="0" applyAlignment="1" applyFont="1" applyNumberFormat="1">
      <alignment horizontal="center" vertical="bottom"/>
    </xf>
    <xf borderId="0" fillId="4" fontId="25" numFmtId="0" xfId="0" applyAlignment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17" fontId="2" numFmtId="0" xfId="0" applyAlignment="1" applyFill="1" applyFont="1">
      <alignment vertical="bottom"/>
    </xf>
    <xf borderId="0" fillId="11" fontId="26" numFmtId="0" xfId="0" applyAlignment="1" applyFont="1">
      <alignment horizontal="center" vertical="bottom"/>
    </xf>
    <xf borderId="0" fillId="4" fontId="2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1495425</xdr:colOff>
      <xdr:row>6</xdr:row>
      <xdr:rowOff>219075</xdr:rowOff>
    </xdr:from>
    <xdr:ext cx="1695450" cy="190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0</xdr:row>
      <xdr:rowOff>0</xdr:rowOff>
    </xdr:from>
    <xdr:ext cx="1695450" cy="28098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8.38"/>
    <col customWidth="1" min="2" max="2" width="19.63"/>
    <col customWidth="1" min="3" max="3" width="19.38"/>
    <col customWidth="1" min="4" max="4" width="20.38"/>
    <col customWidth="1" min="5" max="5" width="21.13"/>
    <col customWidth="1" min="6" max="6" width="20.0"/>
    <col customWidth="1" min="7" max="7" width="18.63"/>
    <col customWidth="1" min="8" max="8" width="19.63"/>
    <col customWidth="1" min="9" max="9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/>
      <c r="F2" s="9" t="s">
        <v>11</v>
      </c>
      <c r="G2" s="10">
        <v>5960000.0</v>
      </c>
      <c r="H2" s="11">
        <v>2000000.0</v>
      </c>
      <c r="J2" s="3"/>
      <c r="K2" s="3"/>
      <c r="L2" s="3"/>
      <c r="M2" s="3"/>
      <c r="N2" s="3"/>
      <c r="O2" s="3"/>
      <c r="P2" s="3"/>
      <c r="Q2" s="3"/>
    </row>
    <row r="3">
      <c r="A3" s="12"/>
      <c r="B3" s="12"/>
      <c r="C3" s="12"/>
      <c r="D3" s="12"/>
      <c r="E3" s="12"/>
      <c r="F3" s="12" t="s">
        <v>12</v>
      </c>
      <c r="G3" s="12"/>
      <c r="H3" s="12"/>
      <c r="J3" s="3"/>
      <c r="K3" s="3"/>
      <c r="L3" s="3"/>
      <c r="M3" s="3"/>
      <c r="N3" s="3"/>
      <c r="O3" s="3"/>
      <c r="P3" s="3"/>
      <c r="Q3" s="3"/>
    </row>
    <row r="4">
      <c r="A4" s="13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J4" s="3"/>
      <c r="K4" s="3"/>
      <c r="L4" s="3"/>
      <c r="M4" s="3"/>
      <c r="N4" s="3"/>
      <c r="O4" s="3"/>
      <c r="P4" s="3"/>
      <c r="Q4" s="3"/>
    </row>
    <row r="5">
      <c r="A5" s="15">
        <f>G2-H2</f>
        <v>3960000</v>
      </c>
      <c r="B5" s="16">
        <v>3.05455</v>
      </c>
      <c r="C5" s="17">
        <f>A5*B5</f>
        <v>12096018</v>
      </c>
      <c r="D5" s="18">
        <v>26.0</v>
      </c>
      <c r="E5" s="19">
        <f>C5/D5</f>
        <v>465231.4615</v>
      </c>
      <c r="F5" s="20">
        <f>E5/2</f>
        <v>232615.7308</v>
      </c>
      <c r="G5" s="21">
        <f>E5/4</f>
        <v>116307.8654</v>
      </c>
      <c r="H5" s="19">
        <f>G5/6</f>
        <v>19384.64423</v>
      </c>
      <c r="J5" s="3"/>
      <c r="K5" s="3"/>
      <c r="L5" s="3"/>
      <c r="M5" s="3"/>
      <c r="N5" s="3"/>
      <c r="O5" s="3"/>
      <c r="P5" s="3"/>
      <c r="Q5" s="3"/>
    </row>
    <row r="6">
      <c r="A6" s="22" t="s">
        <v>21</v>
      </c>
      <c r="B6" s="23" t="s">
        <v>22</v>
      </c>
      <c r="C6" s="22" t="s">
        <v>23</v>
      </c>
      <c r="D6" s="22" t="s">
        <v>24</v>
      </c>
      <c r="E6" s="22" t="s">
        <v>25</v>
      </c>
      <c r="F6" s="24" t="s">
        <v>26</v>
      </c>
      <c r="G6" s="25" t="s">
        <v>27</v>
      </c>
      <c r="H6" s="25" t="s">
        <v>28</v>
      </c>
      <c r="J6" s="3"/>
      <c r="K6" s="3"/>
      <c r="L6" s="3"/>
      <c r="M6" s="3"/>
      <c r="N6" s="3"/>
      <c r="O6" s="3"/>
      <c r="P6" s="3"/>
      <c r="Q6" s="3"/>
    </row>
    <row r="7">
      <c r="A7" s="26" t="s">
        <v>29</v>
      </c>
      <c r="B7" s="26" t="s">
        <v>30</v>
      </c>
      <c r="C7" s="27">
        <v>7.3079474E7</v>
      </c>
      <c r="D7" s="28" t="s">
        <v>31</v>
      </c>
      <c r="E7" s="26">
        <v>3.01741416E9</v>
      </c>
      <c r="F7" s="29" t="s">
        <v>32</v>
      </c>
      <c r="G7" s="29" t="s">
        <v>32</v>
      </c>
      <c r="H7" s="30"/>
      <c r="J7" s="3"/>
      <c r="K7" s="3"/>
      <c r="L7" s="3"/>
      <c r="M7" s="3"/>
      <c r="N7" s="3"/>
      <c r="O7" s="3"/>
      <c r="P7" s="3"/>
      <c r="Q7" s="3"/>
    </row>
    <row r="8">
      <c r="A8" s="31"/>
      <c r="B8" s="31"/>
      <c r="C8" s="31"/>
      <c r="D8" s="31"/>
      <c r="E8" s="32"/>
      <c r="F8" s="33"/>
      <c r="G8" s="31"/>
      <c r="H8" s="34" t="s">
        <v>16</v>
      </c>
      <c r="J8" s="3"/>
      <c r="K8" s="3"/>
      <c r="L8" s="3"/>
      <c r="M8" s="3"/>
      <c r="N8" s="3"/>
      <c r="O8" s="3"/>
      <c r="P8" s="3"/>
      <c r="Q8" s="3"/>
    </row>
    <row r="9">
      <c r="A9" s="35" t="s">
        <v>33</v>
      </c>
      <c r="C9" s="36" t="s">
        <v>34</v>
      </c>
      <c r="E9" s="36" t="s">
        <v>35</v>
      </c>
      <c r="G9" s="36" t="s">
        <v>36</v>
      </c>
      <c r="H9" s="37"/>
      <c r="J9" s="3"/>
      <c r="K9" s="3"/>
      <c r="L9" s="3"/>
      <c r="M9" s="3"/>
      <c r="N9" s="3"/>
      <c r="O9" s="3"/>
      <c r="P9" s="3"/>
      <c r="Q9" s="3"/>
    </row>
    <row r="10">
      <c r="A10" s="38">
        <f>I16+I26</f>
        <v>0</v>
      </c>
      <c r="C10" s="39">
        <f>C5-A10</f>
        <v>12096018</v>
      </c>
      <c r="E10" s="40">
        <f>C10+G10</f>
        <v>12096018</v>
      </c>
      <c r="G10" s="41"/>
      <c r="H10" s="42">
        <f>I21+I30</f>
        <v>0</v>
      </c>
      <c r="J10" s="3"/>
      <c r="K10" s="3"/>
      <c r="L10" s="3"/>
      <c r="M10" s="3"/>
      <c r="N10" s="3"/>
      <c r="O10" s="3"/>
      <c r="P10" s="3"/>
      <c r="Q10" s="3"/>
    </row>
    <row r="11">
      <c r="H11" s="43"/>
      <c r="J11" s="3"/>
      <c r="K11" s="3"/>
      <c r="L11" s="3"/>
      <c r="M11" s="3"/>
      <c r="N11" s="3"/>
      <c r="O11" s="3"/>
      <c r="P11" s="3"/>
      <c r="Q11" s="3"/>
    </row>
    <row r="12">
      <c r="A12" s="44" t="s">
        <v>37</v>
      </c>
      <c r="E12" s="45"/>
      <c r="F12" s="46"/>
      <c r="G12" s="46"/>
      <c r="H12" s="47"/>
      <c r="J12" s="3"/>
      <c r="K12" s="3"/>
      <c r="L12" s="3"/>
      <c r="M12" s="3"/>
      <c r="N12" s="3"/>
      <c r="O12" s="3"/>
      <c r="P12" s="3"/>
      <c r="Q12" s="3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3"/>
      <c r="K13" s="3"/>
      <c r="L13" s="3"/>
      <c r="M13" s="3"/>
      <c r="N13" s="3"/>
      <c r="O13" s="3"/>
      <c r="P13" s="3"/>
      <c r="Q13" s="3"/>
    </row>
    <row r="14">
      <c r="A14" s="12"/>
      <c r="J14" s="3"/>
      <c r="K14" s="3"/>
      <c r="L14" s="3"/>
      <c r="M14" s="3"/>
      <c r="N14" s="3"/>
      <c r="O14" s="3"/>
      <c r="P14" s="3"/>
      <c r="Q14" s="3"/>
    </row>
    <row r="15">
      <c r="A15" s="48" t="s">
        <v>38</v>
      </c>
      <c r="B15" s="48" t="s">
        <v>39</v>
      </c>
      <c r="C15" s="48" t="s">
        <v>38</v>
      </c>
      <c r="D15" s="48" t="s">
        <v>39</v>
      </c>
      <c r="E15" s="48" t="s">
        <v>38</v>
      </c>
      <c r="F15" s="48" t="s">
        <v>39</v>
      </c>
      <c r="G15" s="48" t="s">
        <v>38</v>
      </c>
      <c r="H15" s="48" t="s">
        <v>39</v>
      </c>
      <c r="I15" s="4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0"/>
      <c r="B16" s="51"/>
      <c r="C16" s="52"/>
      <c r="D16" s="51"/>
      <c r="E16" s="52"/>
      <c r="F16" s="51"/>
      <c r="G16" s="52"/>
      <c r="H16" s="51"/>
      <c r="I16" s="53">
        <f>B22+D22+F22+H22</f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0"/>
      <c r="C17" s="52"/>
      <c r="E17" s="52"/>
      <c r="G17" s="5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0"/>
      <c r="C18" s="52"/>
      <c r="E18" s="52"/>
      <c r="G18" s="5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2"/>
      <c r="C19" s="52"/>
      <c r="E19" s="52"/>
      <c r="G19" s="5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2"/>
      <c r="C20" s="52"/>
      <c r="E20" s="52"/>
      <c r="G20" s="5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2"/>
      <c r="C21" s="52"/>
      <c r="E21" s="52"/>
      <c r="G21" s="5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54">
        <f>SUM(B16:B21)</f>
        <v>0</v>
      </c>
      <c r="C22" s="12"/>
      <c r="D22" s="54">
        <f>SUM(D16:D21)</f>
        <v>0</v>
      </c>
      <c r="E22" s="12"/>
      <c r="F22" s="54">
        <f>SUM(F16:F21)</f>
        <v>0</v>
      </c>
      <c r="G22" s="12"/>
      <c r="H22" s="54">
        <f>SUM(H16:H21)</f>
        <v>0</v>
      </c>
      <c r="I22" s="55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6" t="s">
        <v>40</v>
      </c>
      <c r="B23" s="57"/>
      <c r="C23" s="56" t="s">
        <v>40</v>
      </c>
      <c r="D23" s="57"/>
      <c r="E23" s="56" t="s">
        <v>40</v>
      </c>
      <c r="F23" s="57"/>
      <c r="G23" s="56" t="s">
        <v>40</v>
      </c>
      <c r="H23" s="57"/>
      <c r="I23" s="58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8" t="s">
        <v>38</v>
      </c>
      <c r="B25" s="48" t="s">
        <v>39</v>
      </c>
      <c r="C25" s="48" t="s">
        <v>38</v>
      </c>
      <c r="D25" s="48" t="s">
        <v>39</v>
      </c>
      <c r="E25" s="48" t="s">
        <v>38</v>
      </c>
      <c r="F25" s="48" t="s">
        <v>39</v>
      </c>
      <c r="G25" s="48" t="s">
        <v>38</v>
      </c>
      <c r="H25" s="48" t="s">
        <v>39</v>
      </c>
      <c r="I25" s="4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0"/>
      <c r="B26" s="51"/>
      <c r="C26" s="52"/>
      <c r="D26" s="51"/>
      <c r="E26" s="52"/>
      <c r="F26" s="51"/>
      <c r="G26" s="52"/>
      <c r="H26" s="51"/>
      <c r="I26" s="53">
        <f>B32+D32+F32+H32</f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0"/>
      <c r="C27" s="52"/>
      <c r="E27" s="52"/>
      <c r="G27" s="5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0"/>
      <c r="C28" s="52"/>
      <c r="E28" s="52"/>
      <c r="G28" s="5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2"/>
      <c r="C29" s="52"/>
      <c r="E29" s="52"/>
      <c r="G29" s="5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2"/>
      <c r="C30" s="52"/>
      <c r="E30" s="52"/>
      <c r="G30" s="5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2"/>
      <c r="C31" s="52"/>
      <c r="E31" s="52"/>
      <c r="G31" s="5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54">
        <f>SUM(B26:B31)</f>
        <v>0</v>
      </c>
      <c r="C32" s="12"/>
      <c r="D32" s="54">
        <f>SUM(D26:D31)</f>
        <v>0</v>
      </c>
      <c r="E32" s="12"/>
      <c r="F32" s="54">
        <f>SUM(F26:F31)</f>
        <v>0</v>
      </c>
      <c r="G32" s="12"/>
      <c r="H32" s="54">
        <f>SUM(H26:H31)</f>
        <v>0</v>
      </c>
      <c r="I32" s="59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6" t="s">
        <v>40</v>
      </c>
      <c r="B33" s="57"/>
      <c r="C33" s="56" t="s">
        <v>40</v>
      </c>
      <c r="D33" s="57"/>
      <c r="E33" s="56" t="s">
        <v>40</v>
      </c>
      <c r="F33" s="57"/>
      <c r="G33" s="56" t="s">
        <v>40</v>
      </c>
      <c r="H33" s="57"/>
      <c r="I33" s="58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</sheetData>
  <mergeCells count="22">
    <mergeCell ref="E10:F11"/>
    <mergeCell ref="G10:G11"/>
    <mergeCell ref="I1:I12"/>
    <mergeCell ref="H8:H9"/>
    <mergeCell ref="A9:B9"/>
    <mergeCell ref="C9:D9"/>
    <mergeCell ref="E9:F9"/>
    <mergeCell ref="A10:B11"/>
    <mergeCell ref="H10:H11"/>
    <mergeCell ref="A14:I14"/>
    <mergeCell ref="D16:D21"/>
    <mergeCell ref="D26:D31"/>
    <mergeCell ref="H16:H21"/>
    <mergeCell ref="H26:H31"/>
    <mergeCell ref="C10:D11"/>
    <mergeCell ref="A12:D12"/>
    <mergeCell ref="B16:B21"/>
    <mergeCell ref="F16:F21"/>
    <mergeCell ref="I16:I21"/>
    <mergeCell ref="B26:B31"/>
    <mergeCell ref="F26:F31"/>
    <mergeCell ref="I26:I31"/>
  </mergeCells>
  <drawing r:id="rId1"/>
</worksheet>
</file>