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SEMANAL" sheetId="2" r:id="rId6"/>
  </sheets>
  <definedNames/>
  <calcPr/>
</workbook>
</file>

<file path=xl/sharedStrings.xml><?xml version="1.0" encoding="utf-8"?>
<sst xmlns="http://schemas.openxmlformats.org/spreadsheetml/2006/main" count="184" uniqueCount="63">
  <si>
    <t>CODIGO</t>
  </si>
  <si>
    <t>MOTO</t>
  </si>
  <si>
    <t>MODELO</t>
  </si>
  <si>
    <t>PLACA</t>
  </si>
  <si>
    <t>MOVIL</t>
  </si>
  <si>
    <t xml:space="preserve">PRECIO </t>
  </si>
  <si>
    <t>INICIAL</t>
  </si>
  <si>
    <t>A219782G</t>
  </si>
  <si>
    <t>BOXER</t>
  </si>
  <si>
    <t>BAJA</t>
  </si>
  <si>
    <t>RMC-63H</t>
  </si>
  <si>
    <t>03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</si>
  <si>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</si>
  <si>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</si>
  <si>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</si>
  <si>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</si>
  <si>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</si>
  <si>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</si>
  <si>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</si>
  <si>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</si>
  <si>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</si>
  <si>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</si>
  <si>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</si>
  <si>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</si>
  <si>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</si>
  <si>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Traspaso de propiedad</t>
  </si>
  <si>
    <t xml:space="preserve">DEUDA DE SEMANA </t>
  </si>
  <si>
    <t xml:space="preserve">DENYS JOSE </t>
  </si>
  <si>
    <t>GALVE QUINTERO</t>
  </si>
  <si>
    <t>VENEZUELA</t>
  </si>
  <si>
    <t>SOAT</t>
  </si>
  <si>
    <t>FIRMA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</si>
  <si>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</si>
  <si>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</si>
  <si>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</si>
  <si>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</si>
  <si>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</si>
  <si>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</si>
  <si>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</si>
  <si>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</si>
  <si>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M05284498</t>
  </si>
  <si>
    <t>M020863</t>
  </si>
  <si>
    <t>M09626676</t>
  </si>
  <si>
    <t>M01160032</t>
  </si>
  <si>
    <t>M16748276</t>
  </si>
  <si>
    <t xml:space="preserve"> </t>
  </si>
  <si>
    <t>SOLO PAGOS POR BANCOLOMBIA</t>
  </si>
  <si>
    <t>FECHA DEL PRESTAMOS</t>
  </si>
  <si>
    <t xml:space="preserve">COSTO DEL VEICULO </t>
  </si>
  <si>
    <t>MOVIL 03</t>
  </si>
  <si>
    <t xml:space="preserve">INICIAL DEL VEICULO </t>
  </si>
  <si>
    <t>PRESTAMO</t>
  </si>
  <si>
    <t>TASA DE INTERES ( 1,9%)</t>
  </si>
  <si>
    <t>COSTO NETO DE LA MOTO</t>
  </si>
  <si>
    <t>MENSUALIDA GPS</t>
  </si>
  <si>
    <t xml:space="preserve">TOTAL APAGAR GPS </t>
  </si>
  <si>
    <t xml:space="preserve">MESES A PAGAR </t>
  </si>
  <si>
    <t xml:space="preserve">COSTO NETO DE LA MOTO CON LOS TRAMITES Y SERVICIO </t>
  </si>
  <si>
    <t>SALDO PAGADO</t>
  </si>
  <si>
    <t xml:space="preserve">SALDO PENDIENTE </t>
  </si>
  <si>
    <t>DEUDA ADQUIRIDA</t>
  </si>
  <si>
    <t>MESES ADQUIRIDO</t>
  </si>
  <si>
    <t>MESES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</si>
</sst>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[$$]#,##0.00"/>
    <numFmt numFmtId="166" formatCode="dd/mm/yyyy"/>
    <numFmt numFmtId="167" formatCode="&quot;$&quot;#,##0"/>
    <numFmt numFmtId="168" formatCode="&quot;$&quot;#,##0.00"/>
    <numFmt numFmtId="169" formatCode="[$$]#,##0"/>
  </numFmts>
  <fonts count="40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sz val="12.0"/>
      <color rgb="FFFFFFFF"/>
      <name val="Nunito"/>
    </font>
    <font>
      <b/>
      <sz val="12.0"/>
      <color rgb="FF000000"/>
      <name val="Nunito"/>
    </font>
    <font>
      <b/>
      <sz val="12.0"/>
      <color rgb="FF000000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color theme="1"/>
      <name val="Arial"/>
    </font>
    <font>
      <b/>
      <sz val="14.0"/>
      <color rgb="FF0077D9"/>
      <name val="Arial"/>
    </font>
    <font>
      <b/>
      <color rgb="FFFFFFFF"/>
      <name val="Arial"/>
    </font>
    <font>
      <color theme="1"/>
      <name val="Arial"/>
      <scheme val="minor"/>
    </font>
    <font>
      <sz val="25.0"/>
      <color theme="1"/>
      <name val="Arial"/>
    </font>
    <font>
      <color rgb="FFFFFFFF"/>
      <name val="Arial"/>
    </font>
    <font/>
    <font>
      <b/>
      <sz val="25.0"/>
      <color rgb="FFFFFFFF"/>
      <name val="Arial"/>
    </font>
    <font>
      <b/>
      <sz val="24.0"/>
      <color rgb="FFFFFFFF"/>
      <name val="Arial"/>
    </font>
    <font>
      <b/>
      <sz val="25.0"/>
      <color theme="1"/>
      <name val="Arial"/>
    </font>
    <font>
      <sz val="11.0"/>
      <color theme="1"/>
      <name val="Arial"/>
    </font>
    <font>
      <b/>
      <sz val="15.0"/>
      <color theme="1"/>
      <name val="Calibri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  <font>
      <b/>
      <sz val="36.0"/>
      <color rgb="FFFFFFFF"/>
      <name val="Rockwell"/>
    </font>
    <font>
      <sz val="14.0"/>
      <color rgb="FFFFFFFF"/>
      <name val="Rockwell"/>
    </font>
    <font>
      <sz val="28.0"/>
      <color rgb="FFFFFFFF"/>
      <name val="Arial"/>
    </font>
    <font>
      <sz val="13.0"/>
      <color theme="1"/>
      <name val="Lucida Sans"/>
    </font>
    <font>
      <sz val="13.0"/>
      <color theme="1"/>
      <name val="Arial"/>
    </font>
    <font>
      <b/>
      <sz val="13.0"/>
      <color theme="1"/>
      <name val="Nunito"/>
    </font>
    <font>
      <b/>
      <sz val="42.0"/>
      <color rgb="FF404040"/>
      <name val="Lucida Sans"/>
    </font>
    <font>
      <b/>
      <sz val="13.0"/>
      <color theme="1"/>
      <name val="Lucida Sans"/>
    </font>
    <font>
      <sz val="40.0"/>
      <color theme="1"/>
      <name val="Arial"/>
    </font>
    <font>
      <b/>
      <sz val="13.0"/>
      <color rgb="FF404040"/>
      <name val="Lucida Sans"/>
    </font>
    <font>
      <sz val="50.0"/>
      <color theme="1"/>
      <name val="Arial"/>
    </font>
    <font>
      <b/>
      <sz val="12.0"/>
      <color theme="1"/>
      <name val="Lucida Sans"/>
    </font>
    <font>
      <b/>
      <sz val="16.0"/>
      <color theme="1"/>
      <name val="Lucida Sans"/>
    </font>
    <font>
      <b/>
      <sz val="12.0"/>
      <color rgb="FFFFFFFF"/>
      <name val="Arial"/>
    </font>
    <font>
      <sz val="21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91E0FF"/>
        <bgColor rgb="FF91E0FF"/>
      </patternFill>
    </fill>
    <fill>
      <patternFill patternType="solid">
        <fgColor rgb="FF666666"/>
        <bgColor rgb="FF666666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0" fontId="2" numFmtId="164" xfId="0" applyAlignment="1" applyFont="1" applyNumberFormat="1">
      <alignment vertical="bottom"/>
    </xf>
    <xf borderId="1" fillId="4" fontId="3" numFmtId="0" xfId="0" applyAlignment="1" applyBorder="1" applyFill="1" applyFont="1">
      <alignment horizontal="center" vertical="bottom"/>
    </xf>
    <xf borderId="1" fillId="4" fontId="3" numFmtId="1" xfId="0" applyAlignment="1" applyBorder="1" applyFont="1" applyNumberFormat="1">
      <alignment horizontal="center" vertical="bottom"/>
    </xf>
    <xf borderId="1" fillId="4" fontId="4" numFmtId="1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4" fontId="4" numFmtId="49" xfId="0" applyAlignment="1" applyBorder="1" applyFont="1" applyNumberFormat="1">
      <alignment horizontal="center" vertical="bottom"/>
    </xf>
    <xf borderId="1" fillId="4" fontId="4" numFmtId="165" xfId="0" applyAlignment="1" applyBorder="1" applyFont="1" applyNumberFormat="1">
      <alignment horizontal="center" vertical="bottom"/>
    </xf>
    <xf borderId="1" fillId="5" fontId="4" numFmtId="165" xfId="0" applyAlignment="1" applyBorder="1" applyFill="1" applyFont="1" applyNumberFormat="1">
      <alignment horizontal="center" vertical="bottom"/>
    </xf>
    <xf borderId="0" fillId="6" fontId="2" numFmtId="0" xfId="0" applyAlignment="1" applyFill="1" applyFont="1">
      <alignment vertical="bottom"/>
    </xf>
    <xf borderId="0" fillId="7" fontId="5" numFmtId="0" xfId="0" applyAlignment="1" applyFill="1" applyFont="1">
      <alignment horizontal="center" shrinkToFit="0" vertical="bottom" wrapText="1"/>
    </xf>
    <xf borderId="0" fillId="7" fontId="5" numFmtId="0" xfId="0" applyAlignment="1" applyFont="1">
      <alignment horizontal="center" vertical="bottom"/>
    </xf>
    <xf borderId="1" fillId="5" fontId="3" numFmtId="4" xfId="0" applyAlignment="1" applyBorder="1" applyFont="1" applyNumberFormat="1">
      <alignment horizontal="center" vertical="bottom"/>
    </xf>
    <xf borderId="1" fillId="5" fontId="4" numFmtId="1" xfId="0" applyAlignment="1" applyBorder="1" applyFont="1" applyNumberFormat="1">
      <alignment horizontal="center" vertical="bottom"/>
    </xf>
    <xf borderId="2" fillId="5" fontId="6" numFmtId="165" xfId="0" applyAlignment="1" applyBorder="1" applyFont="1" applyNumberFormat="1">
      <alignment horizontal="center" vertical="bottom"/>
    </xf>
    <xf borderId="2" fillId="5" fontId="7" numFmtId="165" xfId="0" applyAlignment="1" applyBorder="1" applyFont="1" applyNumberFormat="1">
      <alignment horizontal="center" vertical="bottom"/>
    </xf>
    <xf borderId="2" fillId="8" fontId="6" numFmtId="165" xfId="0" applyAlignment="1" applyBorder="1" applyFill="1" applyFont="1" applyNumberFormat="1">
      <alignment horizontal="center" vertical="bottom"/>
    </xf>
    <xf borderId="0" fillId="9" fontId="8" numFmtId="0" xfId="0" applyAlignment="1" applyFill="1" applyFont="1">
      <alignment horizontal="center" vertical="bottom"/>
    </xf>
    <xf borderId="0" fillId="10" fontId="9" numFmtId="0" xfId="0" applyAlignment="1" applyFill="1" applyFont="1">
      <alignment horizontal="center" shrinkToFit="0" vertical="bottom" wrapText="1"/>
    </xf>
    <xf borderId="0" fillId="10" fontId="9" numFmtId="0" xfId="0" applyAlignment="1" applyFont="1">
      <alignment horizontal="center" readingOrder="0" shrinkToFit="0" vertical="bottom" wrapText="1"/>
    </xf>
    <xf borderId="0" fillId="11" fontId="10" numFmtId="0" xfId="0" applyAlignment="1" applyFill="1" applyFont="1">
      <alignment horizontal="center" readingOrder="0" vertical="bottom"/>
    </xf>
    <xf borderId="0" fillId="11" fontId="10" numFmtId="0" xfId="0" applyAlignment="1" applyFont="1">
      <alignment horizontal="center" vertical="bottom"/>
    </xf>
    <xf borderId="0" fillId="10" fontId="11" numFmtId="0" xfId="0" applyAlignment="1" applyFont="1">
      <alignment horizontal="center" readingOrder="0" shrinkToFit="0" vertical="bottom" wrapText="1"/>
    </xf>
    <xf borderId="0" fillId="11" fontId="12" numFmtId="0" xfId="0" applyAlignment="1" applyFont="1">
      <alignment horizontal="center" vertical="bottom"/>
    </xf>
    <xf borderId="0" fillId="12" fontId="8" numFmtId="164" xfId="0" applyAlignment="1" applyFill="1" applyFont="1" applyNumberFormat="1">
      <alignment horizontal="center" vertical="bottom"/>
    </xf>
    <xf borderId="0" fillId="13" fontId="13" numFmtId="0" xfId="0" applyFill="1" applyFont="1"/>
    <xf borderId="3" fillId="3" fontId="2" numFmtId="0" xfId="0" applyAlignment="1" applyBorder="1" applyFont="1">
      <alignment vertical="bottom"/>
    </xf>
    <xf borderId="3" fillId="3" fontId="2" numFmtId="164" xfId="0" applyAlignment="1" applyBorder="1" applyFont="1" applyNumberFormat="1">
      <alignment horizontal="center" readingOrder="0" vertical="bottom"/>
    </xf>
    <xf borderId="0" fillId="14" fontId="8" numFmtId="164" xfId="0" applyAlignment="1" applyFill="1" applyFont="1" applyNumberFormat="1">
      <alignment horizontal="center" vertical="bottom"/>
    </xf>
    <xf borderId="4" fillId="3" fontId="14" numFmtId="0" xfId="0" applyAlignment="1" applyBorder="1" applyFont="1">
      <alignment horizontal="center"/>
    </xf>
    <xf borderId="0" fillId="7" fontId="12" numFmtId="0" xfId="0" applyAlignment="1" applyFont="1">
      <alignment horizontal="center" vertical="bottom"/>
    </xf>
    <xf borderId="0" fillId="7" fontId="15" numFmtId="0" xfId="0" applyAlignment="1" applyFont="1">
      <alignment horizontal="center" vertical="bottom"/>
    </xf>
    <xf borderId="5" fillId="0" fontId="16" numFmtId="0" xfId="0" applyBorder="1" applyFont="1"/>
    <xf borderId="0" fillId="3" fontId="14" numFmtId="3" xfId="0" applyAlignment="1" applyFont="1" applyNumberFormat="1">
      <alignment horizontal="center" vertical="bottom"/>
    </xf>
    <xf borderId="0" fillId="15" fontId="17" numFmtId="4" xfId="0" applyAlignment="1" applyFill="1" applyFont="1" applyNumberFormat="1">
      <alignment horizontal="center" vertical="bottom"/>
    </xf>
    <xf borderId="0" fillId="12" fontId="18" numFmtId="4" xfId="0" applyAlignment="1" applyFont="1" applyNumberFormat="1">
      <alignment horizontal="center"/>
    </xf>
    <xf borderId="0" fillId="12" fontId="17" numFmtId="164" xfId="0" applyAlignment="1" applyFont="1" applyNumberFormat="1">
      <alignment horizontal="center" vertical="bottom"/>
    </xf>
    <xf borderId="5" fillId="3" fontId="19" numFmtId="0" xfId="0" applyAlignment="1" applyBorder="1" applyFont="1">
      <alignment horizontal="center" vertical="bottom"/>
    </xf>
    <xf borderId="6" fillId="0" fontId="16" numFmtId="0" xfId="0" applyBorder="1" applyFont="1"/>
    <xf borderId="0" fillId="16" fontId="12" numFmtId="0" xfId="0" applyAlignment="1" applyFill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17" fontId="12" numFmtId="0" xfId="0" applyAlignment="1" applyFill="1" applyFont="1">
      <alignment horizontal="center" vertical="bottom"/>
    </xf>
    <xf borderId="0" fillId="17" fontId="2" numFmtId="0" xfId="0" applyAlignment="1" applyFont="1">
      <alignment vertical="bottom"/>
    </xf>
    <xf borderId="0" fillId="13" fontId="20" numFmtId="166" xfId="0" applyAlignment="1" applyFont="1" applyNumberFormat="1">
      <alignment horizontal="center" vertical="bottom"/>
    </xf>
    <xf borderId="0" fillId="18" fontId="21" numFmtId="167" xfId="0" applyAlignment="1" applyFill="1" applyFont="1" applyNumberFormat="1">
      <alignment horizontal="center" vertical="bottom"/>
    </xf>
    <xf borderId="0" fillId="3" fontId="22" numFmtId="164" xfId="0" applyAlignment="1" applyFont="1" applyNumberFormat="1">
      <alignment horizontal="center" vertical="bottom"/>
    </xf>
    <xf borderId="0" fillId="0" fontId="2" numFmtId="168" xfId="0" applyAlignment="1" applyFont="1" applyNumberFormat="1">
      <alignment vertical="bottom"/>
    </xf>
    <xf borderId="0" fillId="18" fontId="2" numFmtId="167" xfId="0" applyAlignment="1" applyFont="1" applyNumberFormat="1">
      <alignment vertical="bottom"/>
    </xf>
    <xf borderId="0" fillId="6" fontId="23" numFmtId="164" xfId="0" applyAlignment="1" applyFont="1" applyNumberFormat="1">
      <alignment horizontal="center" vertical="bottom"/>
    </xf>
    <xf borderId="0" fillId="6" fontId="23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19" fontId="2" numFmtId="0" xfId="0" applyAlignment="1" applyFill="1" applyFont="1">
      <alignment vertical="bottom"/>
    </xf>
    <xf borderId="0" fillId="3" fontId="24" numFmtId="0" xfId="0" applyAlignment="1" applyFont="1">
      <alignment horizontal="center" vertical="bottom"/>
    </xf>
    <xf borderId="0" fillId="18" fontId="21" numFmtId="167" xfId="0" applyAlignment="1" applyFont="1" applyNumberFormat="1">
      <alignment horizontal="center" readingOrder="0" vertical="bottom"/>
    </xf>
    <xf borderId="0" fillId="6" fontId="23" numFmtId="0" xfId="0" applyAlignment="1" applyFont="1">
      <alignment horizontal="center" readingOrder="0" vertical="bottom"/>
    </xf>
    <xf borderId="0" fillId="13" fontId="20" numFmtId="166" xfId="0" applyAlignment="1" applyFont="1" applyNumberFormat="1">
      <alignment horizontal="center" readingOrder="0" vertical="bottom"/>
    </xf>
    <xf borderId="0" fillId="19" fontId="2" numFmtId="0" xfId="0" applyAlignment="1" applyFont="1">
      <alignment readingOrder="0" vertical="bottom"/>
    </xf>
    <xf borderId="0" fillId="19" fontId="2" numFmtId="0" xfId="0" applyAlignment="1" applyFont="1">
      <alignment horizontal="center" readingOrder="0" vertical="bottom"/>
    </xf>
    <xf borderId="0" fillId="8" fontId="21" numFmtId="167" xfId="0" applyAlignment="1" applyFont="1" applyNumberFormat="1">
      <alignment horizontal="center" readingOrder="0" vertical="bottom"/>
    </xf>
    <xf borderId="0" fillId="0" fontId="2" numFmtId="168" xfId="0" applyAlignment="1" applyFont="1" applyNumberFormat="1">
      <alignment readingOrder="0" vertical="bottom"/>
    </xf>
    <xf borderId="9" fillId="19" fontId="25" numFmtId="0" xfId="0" applyAlignment="1" applyBorder="1" applyFont="1">
      <alignment horizontal="center" vertical="bottom"/>
    </xf>
    <xf borderId="10" fillId="0" fontId="16" numFmtId="0" xfId="0" applyBorder="1" applyFont="1"/>
    <xf borderId="11" fillId="0" fontId="16" numFmtId="0" xfId="0" applyBorder="1" applyFont="1"/>
    <xf borderId="12" fillId="6" fontId="2" numFmtId="0" xfId="0" applyAlignment="1" applyBorder="1" applyFont="1">
      <alignment vertical="bottom"/>
    </xf>
    <xf borderId="13" fillId="6" fontId="2" numFmtId="0" xfId="0" applyAlignment="1" applyBorder="1" applyFont="1">
      <alignment vertical="bottom"/>
    </xf>
    <xf borderId="14" fillId="20" fontId="26" numFmtId="0" xfId="0" applyAlignment="1" applyBorder="1" applyFill="1" applyFont="1">
      <alignment horizontal="center" vertical="bottom"/>
    </xf>
    <xf borderId="15" fillId="0" fontId="16" numFmtId="0" xfId="0" applyBorder="1" applyFont="1"/>
    <xf borderId="16" fillId="20" fontId="27" numFmtId="0" xfId="0" applyAlignment="1" applyBorder="1" applyFont="1">
      <alignment horizontal="center" vertical="bottom"/>
    </xf>
    <xf borderId="17" fillId="0" fontId="16" numFmtId="0" xfId="0" applyBorder="1" applyFont="1"/>
    <xf borderId="18" fillId="0" fontId="16" numFmtId="0" xfId="0" applyBorder="1" applyFont="1"/>
    <xf borderId="19" fillId="21" fontId="28" numFmtId="0" xfId="0" applyAlignment="1" applyBorder="1" applyFill="1" applyFont="1">
      <alignment vertical="bottom"/>
    </xf>
    <xf borderId="0" fillId="3" fontId="29" numFmtId="166" xfId="0" applyAlignment="1" applyFont="1" applyNumberFormat="1">
      <alignment horizontal="center" vertical="bottom"/>
    </xf>
    <xf borderId="20" fillId="0" fontId="16" numFmtId="0" xfId="0" applyBorder="1" applyFont="1"/>
    <xf borderId="21" fillId="0" fontId="16" numFmtId="0" xfId="0" applyBorder="1" applyFont="1"/>
    <xf borderId="22" fillId="0" fontId="16" numFmtId="0" xfId="0" applyBorder="1" applyFont="1"/>
    <xf borderId="1" fillId="3" fontId="30" numFmtId="169" xfId="0" applyAlignment="1" applyBorder="1" applyFont="1" applyNumberFormat="1">
      <alignment horizontal="center" vertical="bottom"/>
    </xf>
    <xf borderId="0" fillId="0" fontId="31" numFmtId="0" xfId="0" applyAlignment="1" applyFont="1">
      <alignment horizontal="center" readingOrder="0" vertical="center"/>
    </xf>
    <xf borderId="1" fillId="3" fontId="30" numFmtId="169" xfId="0" applyAlignment="1" applyBorder="1" applyFont="1" applyNumberFormat="1">
      <alignment horizontal="center" readingOrder="0" vertical="bottom"/>
    </xf>
    <xf borderId="14" fillId="21" fontId="28" numFmtId="0" xfId="0" applyAlignment="1" applyBorder="1" applyFont="1">
      <alignment vertical="bottom"/>
    </xf>
    <xf borderId="19" fillId="21" fontId="32" numFmtId="0" xfId="0" applyAlignment="1" applyBorder="1" applyFont="1">
      <alignment vertical="bottom"/>
    </xf>
    <xf borderId="0" fillId="22" fontId="32" numFmtId="3" xfId="0" applyAlignment="1" applyFill="1" applyFont="1" applyNumberFormat="1">
      <alignment horizontal="center" vertical="bottom"/>
    </xf>
    <xf borderId="0" fillId="23" fontId="23" numFmtId="0" xfId="0" applyAlignment="1" applyFill="1" applyFont="1">
      <alignment shrinkToFit="0" vertical="bottom" wrapText="1"/>
    </xf>
    <xf borderId="0" fillId="22" fontId="32" numFmtId="164" xfId="0" applyAlignment="1" applyFont="1" applyNumberFormat="1">
      <alignment horizontal="center" vertical="bottom"/>
    </xf>
    <xf borderId="0" fillId="3" fontId="33" numFmtId="168" xfId="0" applyAlignment="1" applyFont="1" applyNumberFormat="1">
      <alignment horizontal="center" vertical="bottom"/>
    </xf>
    <xf borderId="0" fillId="23" fontId="2" numFmtId="0" xfId="0" applyAlignment="1" applyFont="1">
      <alignment vertical="bottom"/>
    </xf>
    <xf borderId="0" fillId="22" fontId="2" numFmtId="164" xfId="0" applyAlignment="1" applyFont="1" applyNumberFormat="1">
      <alignment vertical="bottom"/>
    </xf>
    <xf borderId="0" fillId="3" fontId="34" numFmtId="0" xfId="0" applyAlignment="1" applyFont="1">
      <alignment vertical="bottom"/>
    </xf>
    <xf borderId="0" fillId="3" fontId="2" numFmtId="164" xfId="0" applyAlignment="1" applyFont="1" applyNumberFormat="1">
      <alignment vertical="bottom"/>
    </xf>
    <xf borderId="0" fillId="18" fontId="35" numFmtId="168" xfId="0" applyAlignment="1" applyFont="1" applyNumberFormat="1">
      <alignment horizontal="center" vertical="bottom"/>
    </xf>
    <xf borderId="23" fillId="3" fontId="28" numFmtId="0" xfId="0" applyAlignment="1" applyBorder="1" applyFont="1">
      <alignment vertical="bottom"/>
    </xf>
    <xf borderId="24" fillId="3" fontId="32" numFmtId="3" xfId="0" applyAlignment="1" applyBorder="1" applyFont="1" applyNumberFormat="1">
      <alignment horizontal="center" readingOrder="0" vertical="bottom"/>
    </xf>
    <xf borderId="19" fillId="24" fontId="36" numFmtId="0" xfId="0" applyAlignment="1" applyBorder="1" applyFill="1" applyFont="1">
      <alignment shrinkToFit="0" vertical="bottom" wrapText="1"/>
    </xf>
    <xf borderId="0" fillId="24" fontId="37" numFmtId="3" xfId="0" applyAlignment="1" applyFont="1" applyNumberFormat="1">
      <alignment horizontal="center" vertical="bottom"/>
    </xf>
    <xf borderId="0" fillId="3" fontId="38" numFmtId="0" xfId="0" applyAlignment="1" applyFont="1">
      <alignment horizontal="center" vertical="bottom"/>
    </xf>
    <xf borderId="0" fillId="3" fontId="38" numFmtId="0" xfId="0" applyAlignment="1" applyFont="1">
      <alignment horizontal="center" shrinkToFit="0" vertical="bottom" wrapText="1"/>
    </xf>
    <xf borderId="0" fillId="8" fontId="39" numFmtId="164" xfId="0" applyAlignment="1" applyFont="1" applyNumberFormat="1">
      <alignment horizontal="center" vertical="bottom"/>
    </xf>
    <xf borderId="0" fillId="19" fontId="39" numFmtId="164" xfId="0" applyAlignment="1" applyFont="1" applyNumberFormat="1">
      <alignment horizontal="center" vertical="bottom"/>
    </xf>
    <xf borderId="0" fillId="25" fontId="39" numFmtId="164" xfId="0" applyAlignment="1" applyFill="1" applyFont="1" applyNumberFormat="1">
      <alignment horizontal="center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0</xdr:row>
      <xdr:rowOff>0</xdr:rowOff>
    </xdr:from>
    <xdr:ext cx="2286000" cy="2514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1695450</xdr:colOff>
      <xdr:row>3</xdr:row>
      <xdr:rowOff>247650</xdr:rowOff>
    </xdr:from>
    <xdr:ext cx="1104900" cy="1200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20.5"/>
    <col customWidth="1" min="2" max="2" width="19.63"/>
    <col customWidth="1" min="3" max="3" width="18.0"/>
    <col customWidth="1" min="4" max="4" width="19.63"/>
    <col customWidth="1" min="5" max="5" width="20.0"/>
    <col customWidth="1" min="6" max="6" width="23.0"/>
    <col customWidth="1" min="7" max="7" width="21.75"/>
    <col customWidth="1" min="8" max="8" width="23.88"/>
    <col customWidth="1" min="9" max="9" width="30.88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3"/>
    </row>
    <row r="2">
      <c r="A2" s="4" t="s">
        <v>7</v>
      </c>
      <c r="B2" s="5" t="s">
        <v>8</v>
      </c>
      <c r="C2" s="6">
        <v>2026.0</v>
      </c>
      <c r="D2" s="7" t="s">
        <v>9</v>
      </c>
      <c r="E2" s="7" t="s">
        <v>10</v>
      </c>
      <c r="F2" s="8" t="s">
        <v>11</v>
      </c>
      <c r="G2" s="9">
        <v>6800000.0</v>
      </c>
      <c r="H2" s="10">
        <v>1050000.0</v>
      </c>
    </row>
    <row r="3">
      <c r="A3" s="11"/>
      <c r="B3" s="11"/>
      <c r="C3" s="11"/>
      <c r="D3" s="11"/>
      <c r="E3" s="11"/>
      <c r="F3" s="11"/>
      <c r="G3" s="11"/>
      <c r="H3" s="11"/>
    </row>
    <row r="4">
      <c r="A4" s="12" t="s">
        <v>12</v>
      </c>
      <c r="B4" s="13" t="s">
        <v>13</v>
      </c>
      <c r="C4" s="13" t="s">
        <v>14</v>
      </c>
      <c r="D4" s="13" t="s">
        <v>15</v>
      </c>
      <c r="E4" s="13" t="s">
        <v>16</v>
      </c>
      <c r="F4" s="13" t="s">
        <v>17</v>
      </c>
      <c r="G4" s="13" t="s">
        <v>18</v>
      </c>
      <c r="H4" s="13" t="s">
        <v>19</v>
      </c>
    </row>
    <row r="5">
      <c r="A5" s="10">
        <f>G2-H2</f>
        <v>5750000</v>
      </c>
      <c r="B5" s="10">
        <f>A5*158%</f>
        <v>9085000</v>
      </c>
      <c r="C5" s="14">
        <f>A5+B5</f>
        <v>14835000</v>
      </c>
      <c r="D5" s="15">
        <v>18.0</v>
      </c>
      <c r="E5" s="16">
        <f>C5/D5</f>
        <v>824166.6667</v>
      </c>
      <c r="F5" s="17">
        <f>E5/2</f>
        <v>412083.3333</v>
      </c>
      <c r="G5" s="18">
        <f>E5/4</f>
        <v>206041.6667</v>
      </c>
      <c r="H5" s="16">
        <f>G5/6</f>
        <v>34340.27778</v>
      </c>
    </row>
    <row r="6">
      <c r="A6" s="19" t="s">
        <v>20</v>
      </c>
      <c r="B6" s="19" t="s">
        <v>21</v>
      </c>
      <c r="C6" s="19" t="s">
        <v>22</v>
      </c>
      <c r="D6" s="19" t="s">
        <v>23</v>
      </c>
      <c r="E6" s="19" t="s">
        <v>24</v>
      </c>
      <c r="G6" s="20" t="s">
        <v>25</v>
      </c>
      <c r="H6" s="21" t="s">
        <v>26</v>
      </c>
    </row>
    <row r="7">
      <c r="A7" s="22" t="s">
        <v>27</v>
      </c>
      <c r="B7" s="22" t="s">
        <v>28</v>
      </c>
      <c r="C7" s="23">
        <v>1.474783E7</v>
      </c>
      <c r="D7" s="22" t="s">
        <v>29</v>
      </c>
      <c r="E7" s="23">
        <v>3.01715043E9</v>
      </c>
      <c r="F7" s="24" t="s">
        <v>30</v>
      </c>
      <c r="G7" s="25" t="s">
        <v>31</v>
      </c>
      <c r="H7" s="26"/>
    </row>
    <row r="8">
      <c r="A8" s="2"/>
      <c r="B8" s="2"/>
      <c r="C8" s="2"/>
      <c r="D8" s="27"/>
      <c r="E8" s="28"/>
      <c r="F8" s="29"/>
      <c r="G8" s="30"/>
      <c r="H8" s="31" t="s">
        <v>15</v>
      </c>
    </row>
    <row r="9">
      <c r="A9" s="32" t="s">
        <v>32</v>
      </c>
      <c r="C9" s="33" t="s">
        <v>33</v>
      </c>
      <c r="E9" s="33" t="s">
        <v>34</v>
      </c>
      <c r="G9" s="33" t="s">
        <v>35</v>
      </c>
      <c r="H9" s="34"/>
    </row>
    <row r="10">
      <c r="A10" s="35">
        <f>I16+I26+I36+I46+I56+I66+I76+I86+I96+I106</f>
        <v>8078000</v>
      </c>
      <c r="C10" s="36">
        <f>C5-A10</f>
        <v>6757000</v>
      </c>
      <c r="E10" s="37">
        <f>C10+G10+H7</f>
        <v>6757000</v>
      </c>
      <c r="G10" s="38">
        <f>G8+F8</f>
        <v>0</v>
      </c>
      <c r="H10" s="39">
        <f>I23+I33+I43+I53+I63+I73+I83+I93+I103+I113</f>
        <v>9</v>
      </c>
    </row>
    <row r="11">
      <c r="H11" s="40"/>
    </row>
    <row r="12">
      <c r="A12" s="41" t="s">
        <v>36</v>
      </c>
      <c r="E12" s="42"/>
      <c r="F12" s="43"/>
      <c r="G12" s="43"/>
      <c r="H12" s="44"/>
    </row>
    <row r="13">
      <c r="A13" s="11"/>
      <c r="B13" s="11"/>
      <c r="C13" s="11"/>
      <c r="D13" s="11"/>
      <c r="E13" s="11"/>
      <c r="F13" s="11"/>
      <c r="G13" s="11"/>
      <c r="H13" s="11"/>
      <c r="I13" s="11"/>
    </row>
    <row r="14">
      <c r="A14" s="11"/>
      <c r="B14" s="11"/>
      <c r="C14" s="11"/>
      <c r="D14" s="11"/>
      <c r="E14" s="11"/>
      <c r="F14" s="11"/>
      <c r="G14" s="11"/>
      <c r="H14" s="11"/>
      <c r="I14" s="11"/>
    </row>
    <row r="15">
      <c r="A15" s="45" t="s">
        <v>37</v>
      </c>
      <c r="B15" s="45" t="s">
        <v>38</v>
      </c>
      <c r="C15" s="45" t="s">
        <v>37</v>
      </c>
      <c r="D15" s="45" t="s">
        <v>38</v>
      </c>
      <c r="E15" s="45" t="s">
        <v>37</v>
      </c>
      <c r="F15" s="45" t="s">
        <v>38</v>
      </c>
      <c r="G15" s="45" t="s">
        <v>37</v>
      </c>
      <c r="H15" s="45" t="s">
        <v>38</v>
      </c>
      <c r="I15" s="46"/>
    </row>
    <row r="16">
      <c r="A16" s="47">
        <v>45894.0</v>
      </c>
      <c r="B16" s="48">
        <v>207000.0</v>
      </c>
      <c r="C16" s="47">
        <v>45901.0</v>
      </c>
      <c r="D16" s="48">
        <v>207000.0</v>
      </c>
      <c r="E16" s="47">
        <v>45908.0</v>
      </c>
      <c r="F16" s="48">
        <v>212000.0</v>
      </c>
      <c r="G16" s="47">
        <v>45915.0</v>
      </c>
      <c r="H16" s="48">
        <v>207000.0</v>
      </c>
      <c r="I16" s="49">
        <f>B22+D22+F22+H22</f>
        <v>833000</v>
      </c>
    </row>
    <row r="17">
      <c r="A17" s="47">
        <v>45895.0</v>
      </c>
      <c r="B17" s="44"/>
      <c r="C17" s="47">
        <v>45902.0</v>
      </c>
      <c r="D17" s="50"/>
      <c r="E17" s="47">
        <v>45909.0</v>
      </c>
      <c r="F17" s="44"/>
      <c r="G17" s="47">
        <v>45916.0</v>
      </c>
      <c r="H17" s="44"/>
    </row>
    <row r="18">
      <c r="A18" s="47">
        <v>45896.0</v>
      </c>
      <c r="B18" s="44"/>
      <c r="C18" s="47">
        <v>45903.0</v>
      </c>
      <c r="D18" s="44"/>
      <c r="E18" s="47">
        <v>45910.0</v>
      </c>
      <c r="F18" s="44"/>
      <c r="G18" s="47">
        <v>45917.0</v>
      </c>
      <c r="H18" s="44"/>
    </row>
    <row r="19">
      <c r="A19" s="47">
        <v>45897.0</v>
      </c>
      <c r="B19" s="44"/>
      <c r="C19" s="47">
        <v>45904.0</v>
      </c>
      <c r="D19" s="51"/>
      <c r="E19" s="47">
        <v>45911.0</v>
      </c>
      <c r="F19" s="51"/>
      <c r="G19" s="47">
        <v>45918.0</v>
      </c>
      <c r="H19" s="51"/>
    </row>
    <row r="20">
      <c r="A20" s="47">
        <v>45898.0</v>
      </c>
      <c r="B20" s="44"/>
      <c r="C20" s="47">
        <v>45905.0</v>
      </c>
      <c r="D20" s="44"/>
      <c r="E20" s="47">
        <v>45912.0</v>
      </c>
      <c r="F20" s="44"/>
      <c r="G20" s="47">
        <v>45919.0</v>
      </c>
      <c r="H20" s="44"/>
    </row>
    <row r="21">
      <c r="A21" s="47">
        <v>45899.0</v>
      </c>
      <c r="B21" s="44"/>
      <c r="C21" s="47">
        <v>45906.0</v>
      </c>
      <c r="D21" s="44"/>
      <c r="E21" s="47">
        <v>45913.0</v>
      </c>
      <c r="F21" s="44"/>
      <c r="G21" s="47">
        <v>45920.0</v>
      </c>
      <c r="H21" s="44"/>
    </row>
    <row r="22">
      <c r="A22" s="11"/>
      <c r="B22" s="52">
        <f>SUM(B16:B21)</f>
        <v>207000</v>
      </c>
      <c r="C22" s="11"/>
      <c r="D22" s="52">
        <f>SUM(D16:D21)</f>
        <v>207000</v>
      </c>
      <c r="E22" s="11"/>
      <c r="F22" s="52">
        <f>SUM(F16:F21)</f>
        <v>212000</v>
      </c>
      <c r="G22" s="11"/>
      <c r="H22" s="52">
        <f>SUM(H16:H21)</f>
        <v>207000</v>
      </c>
      <c r="I22" s="53">
        <v>1.0</v>
      </c>
    </row>
    <row r="23">
      <c r="A23" s="54" t="s">
        <v>39</v>
      </c>
      <c r="B23" s="55"/>
      <c r="C23" s="54" t="s">
        <v>39</v>
      </c>
      <c r="D23" s="55"/>
      <c r="E23" s="54" t="s">
        <v>39</v>
      </c>
      <c r="F23" s="55"/>
      <c r="G23" s="54" t="s">
        <v>39</v>
      </c>
      <c r="H23" s="55"/>
      <c r="I23" s="56">
        <v>1.0</v>
      </c>
    </row>
    <row r="24">
      <c r="A24" s="11"/>
    </row>
    <row r="25">
      <c r="A25" s="45" t="s">
        <v>37</v>
      </c>
      <c r="B25" s="45" t="s">
        <v>38</v>
      </c>
      <c r="C25" s="45" t="s">
        <v>37</v>
      </c>
      <c r="D25" s="45" t="s">
        <v>38</v>
      </c>
      <c r="E25" s="45" t="s">
        <v>37</v>
      </c>
      <c r="F25" s="45" t="s">
        <v>38</v>
      </c>
      <c r="G25" s="45" t="s">
        <v>37</v>
      </c>
      <c r="H25" s="45" t="s">
        <v>38</v>
      </c>
      <c r="I25" s="46"/>
    </row>
    <row r="26">
      <c r="A26" s="47">
        <v>45922.0</v>
      </c>
      <c r="B26" s="57">
        <v>207000.0</v>
      </c>
      <c r="C26" s="47">
        <v>45929.0</v>
      </c>
      <c r="D26" s="57">
        <v>207000.0</v>
      </c>
      <c r="E26" s="47">
        <v>45936.0</v>
      </c>
      <c r="F26" s="48">
        <v>207000.0</v>
      </c>
      <c r="G26" s="47">
        <v>45943.0</v>
      </c>
      <c r="H26" s="48">
        <v>207000.0</v>
      </c>
      <c r="I26" s="49">
        <f>B32+D32+F32+H32</f>
        <v>828000</v>
      </c>
    </row>
    <row r="27">
      <c r="A27" s="47">
        <v>45923.0</v>
      </c>
      <c r="B27" s="44"/>
      <c r="C27" s="47">
        <v>45930.0</v>
      </c>
      <c r="D27" s="50"/>
      <c r="E27" s="47">
        <v>45937.0</v>
      </c>
      <c r="F27" s="44"/>
      <c r="G27" s="47">
        <v>45944.0</v>
      </c>
      <c r="H27" s="44"/>
    </row>
    <row r="28">
      <c r="A28" s="47">
        <v>45924.0</v>
      </c>
      <c r="B28" s="44"/>
      <c r="C28" s="47">
        <v>45931.0</v>
      </c>
      <c r="D28" s="44"/>
      <c r="E28" s="47">
        <v>45938.0</v>
      </c>
      <c r="F28" s="44"/>
      <c r="G28" s="47">
        <v>45945.0</v>
      </c>
      <c r="H28" s="44"/>
    </row>
    <row r="29">
      <c r="A29" s="47">
        <v>45925.0</v>
      </c>
      <c r="B29" s="44"/>
      <c r="C29" s="47">
        <v>45932.0</v>
      </c>
      <c r="D29" s="51"/>
      <c r="E29" s="47">
        <v>45939.0</v>
      </c>
      <c r="F29" s="51"/>
      <c r="G29" s="47">
        <v>45946.0</v>
      </c>
      <c r="H29" s="51"/>
    </row>
    <row r="30">
      <c r="A30" s="47">
        <v>45926.0</v>
      </c>
      <c r="B30" s="44"/>
      <c r="C30" s="47">
        <v>45933.0</v>
      </c>
      <c r="D30" s="44"/>
      <c r="E30" s="47">
        <v>45940.0</v>
      </c>
      <c r="F30" s="44"/>
      <c r="G30" s="47">
        <v>45947.0</v>
      </c>
      <c r="H30" s="44"/>
    </row>
    <row r="31">
      <c r="A31" s="47">
        <v>45927.0</v>
      </c>
      <c r="B31" s="44"/>
      <c r="C31" s="47">
        <v>45934.0</v>
      </c>
      <c r="D31" s="44"/>
      <c r="E31" s="47">
        <v>45941.0</v>
      </c>
      <c r="F31" s="44"/>
      <c r="G31" s="47">
        <v>45948.0</v>
      </c>
      <c r="H31" s="44"/>
    </row>
    <row r="32">
      <c r="A32" s="11"/>
      <c r="B32" s="52">
        <f>SUM(B26:B31)</f>
        <v>207000</v>
      </c>
      <c r="C32" s="11"/>
      <c r="D32" s="52">
        <f>SUM(D26:D31)</f>
        <v>207000</v>
      </c>
      <c r="E32" s="11"/>
      <c r="F32" s="52">
        <f>SUM(F26:F31)</f>
        <v>207000</v>
      </c>
      <c r="G32" s="11"/>
      <c r="H32" s="52">
        <f>SUM(H26:H31)</f>
        <v>207000</v>
      </c>
      <c r="I32" s="58">
        <v>2.0</v>
      </c>
    </row>
    <row r="33">
      <c r="A33" s="54" t="s">
        <v>39</v>
      </c>
      <c r="B33" s="55"/>
      <c r="C33" s="54" t="s">
        <v>39</v>
      </c>
      <c r="D33" s="55"/>
      <c r="E33" s="54" t="s">
        <v>39</v>
      </c>
      <c r="F33" s="55"/>
      <c r="G33" s="54" t="s">
        <v>39</v>
      </c>
      <c r="H33" s="55"/>
      <c r="I33" s="56">
        <v>1.0</v>
      </c>
    </row>
    <row r="34">
      <c r="A34" s="11"/>
    </row>
    <row r="35">
      <c r="A35" s="45" t="s">
        <v>37</v>
      </c>
      <c r="B35" s="45" t="s">
        <v>38</v>
      </c>
      <c r="C35" s="45" t="s">
        <v>37</v>
      </c>
      <c r="D35" s="45" t="s">
        <v>38</v>
      </c>
      <c r="E35" s="45" t="s">
        <v>37</v>
      </c>
      <c r="F35" s="45" t="s">
        <v>38</v>
      </c>
      <c r="G35" s="45" t="s">
        <v>37</v>
      </c>
      <c r="H35" s="45" t="s">
        <v>38</v>
      </c>
      <c r="I35" s="46"/>
    </row>
    <row r="36">
      <c r="A36" s="47">
        <v>45950.0</v>
      </c>
      <c r="B36" s="48">
        <v>207000.0</v>
      </c>
      <c r="C36" s="47">
        <v>45957.0</v>
      </c>
      <c r="D36" s="48">
        <v>207000.0</v>
      </c>
      <c r="E36" s="47">
        <v>45964.0</v>
      </c>
      <c r="F36" s="48">
        <v>207000.0</v>
      </c>
      <c r="G36" s="47">
        <v>45971.0</v>
      </c>
      <c r="H36" s="48">
        <v>207000.0</v>
      </c>
      <c r="I36" s="49">
        <f>B42+D42+F42+H42</f>
        <v>828000</v>
      </c>
    </row>
    <row r="37">
      <c r="A37" s="47">
        <v>45951.0</v>
      </c>
      <c r="B37" s="44"/>
      <c r="C37" s="47">
        <v>45958.0</v>
      </c>
      <c r="D37" s="50"/>
      <c r="E37" s="47">
        <v>45965.0</v>
      </c>
      <c r="F37" s="44"/>
      <c r="G37" s="47">
        <v>45972.0</v>
      </c>
      <c r="H37" s="44"/>
    </row>
    <row r="38">
      <c r="A38" s="47">
        <v>45952.0</v>
      </c>
      <c r="B38" s="44"/>
      <c r="C38" s="47">
        <v>45959.0</v>
      </c>
      <c r="D38" s="44"/>
      <c r="E38" s="47">
        <v>45966.0</v>
      </c>
      <c r="F38" s="44"/>
      <c r="G38" s="47">
        <v>45973.0</v>
      </c>
      <c r="H38" s="44"/>
    </row>
    <row r="39">
      <c r="A39" s="47">
        <v>45953.0</v>
      </c>
      <c r="B39" s="44"/>
      <c r="C39" s="47">
        <v>45960.0</v>
      </c>
      <c r="D39" s="51"/>
      <c r="E39" s="47">
        <v>45967.0</v>
      </c>
      <c r="F39" s="51"/>
      <c r="G39" s="47">
        <v>45974.0</v>
      </c>
      <c r="H39" s="51"/>
    </row>
    <row r="40">
      <c r="A40" s="47">
        <v>45954.0</v>
      </c>
      <c r="B40" s="44"/>
      <c r="C40" s="47">
        <v>45961.0</v>
      </c>
      <c r="D40" s="44"/>
      <c r="E40" s="47">
        <v>45968.0</v>
      </c>
      <c r="F40" s="44"/>
      <c r="G40" s="47">
        <v>45975.0</v>
      </c>
      <c r="H40" s="44"/>
    </row>
    <row r="41">
      <c r="A41" s="47">
        <v>45955.0</v>
      </c>
      <c r="B41" s="44"/>
      <c r="C41" s="47">
        <v>45962.0</v>
      </c>
      <c r="D41" s="44"/>
      <c r="E41" s="47">
        <v>45969.0</v>
      </c>
      <c r="F41" s="44"/>
      <c r="G41" s="47">
        <v>45976.0</v>
      </c>
      <c r="H41" s="44"/>
    </row>
    <row r="42">
      <c r="A42" s="11"/>
      <c r="B42" s="52">
        <f>SUM(B36:B41)</f>
        <v>207000</v>
      </c>
      <c r="C42" s="11"/>
      <c r="D42" s="52">
        <f>SUM(D36:D41)</f>
        <v>207000</v>
      </c>
      <c r="E42" s="11"/>
      <c r="F42" s="52">
        <f>SUM(F36:F41)</f>
        <v>207000</v>
      </c>
      <c r="G42" s="11"/>
      <c r="H42" s="52">
        <f>SUM(H36:H41)</f>
        <v>207000</v>
      </c>
      <c r="I42" s="58">
        <v>3.0</v>
      </c>
    </row>
    <row r="43">
      <c r="A43" s="54" t="s">
        <v>39</v>
      </c>
      <c r="B43" s="55"/>
      <c r="C43" s="54" t="s">
        <v>39</v>
      </c>
      <c r="D43" s="55"/>
      <c r="E43" s="54" t="s">
        <v>39</v>
      </c>
      <c r="F43" s="55"/>
      <c r="G43" s="54" t="s">
        <v>39</v>
      </c>
      <c r="H43" s="55"/>
      <c r="I43" s="56">
        <v>1.0</v>
      </c>
    </row>
    <row r="44">
      <c r="A44" s="11"/>
    </row>
    <row r="45">
      <c r="A45" s="45" t="s">
        <v>37</v>
      </c>
      <c r="B45" s="45" t="s">
        <v>38</v>
      </c>
      <c r="C45" s="45" t="s">
        <v>37</v>
      </c>
      <c r="D45" s="45" t="s">
        <v>38</v>
      </c>
      <c r="E45" s="45" t="s">
        <v>37</v>
      </c>
      <c r="F45" s="45" t="s">
        <v>38</v>
      </c>
      <c r="G45" s="45" t="s">
        <v>37</v>
      </c>
      <c r="H45" s="45" t="s">
        <v>38</v>
      </c>
      <c r="I45" s="46"/>
    </row>
    <row r="46">
      <c r="A46" s="47">
        <v>45978.0</v>
      </c>
      <c r="B46" s="48">
        <v>207000.0</v>
      </c>
      <c r="C46" s="47">
        <v>45985.0</v>
      </c>
      <c r="D46" s="48">
        <v>207000.0</v>
      </c>
      <c r="E46" s="47">
        <v>45992.0</v>
      </c>
      <c r="F46" s="48">
        <v>207000.0</v>
      </c>
      <c r="G46" s="47">
        <v>45999.0</v>
      </c>
      <c r="H46" s="48">
        <v>207000.0</v>
      </c>
      <c r="I46" s="49">
        <f>B52+D52+F52+H52</f>
        <v>828000</v>
      </c>
    </row>
    <row r="47">
      <c r="A47" s="47">
        <v>45979.0</v>
      </c>
      <c r="B47" s="44"/>
      <c r="C47" s="47">
        <v>45986.0</v>
      </c>
      <c r="D47" s="50"/>
      <c r="E47" s="47">
        <v>45993.0</v>
      </c>
      <c r="F47" s="44"/>
      <c r="G47" s="47">
        <v>46000.0</v>
      </c>
      <c r="H47" s="44"/>
    </row>
    <row r="48">
      <c r="A48" s="47">
        <v>45980.0</v>
      </c>
      <c r="B48" s="44"/>
      <c r="C48" s="47">
        <v>45987.0</v>
      </c>
      <c r="D48" s="44"/>
      <c r="E48" s="47">
        <v>45994.0</v>
      </c>
      <c r="F48" s="44"/>
      <c r="G48" s="47">
        <v>46001.0</v>
      </c>
      <c r="H48" s="44"/>
    </row>
    <row r="49">
      <c r="A49" s="47">
        <v>45981.0</v>
      </c>
      <c r="B49" s="44"/>
      <c r="C49" s="47">
        <v>45988.0</v>
      </c>
      <c r="D49" s="51"/>
      <c r="E49" s="47">
        <v>45995.0</v>
      </c>
      <c r="F49" s="51"/>
      <c r="G49" s="47">
        <v>46002.0</v>
      </c>
      <c r="H49" s="51"/>
    </row>
    <row r="50">
      <c r="A50" s="47">
        <v>45982.0</v>
      </c>
      <c r="B50" s="44"/>
      <c r="C50" s="47">
        <v>45989.0</v>
      </c>
      <c r="D50" s="44"/>
      <c r="E50" s="47">
        <v>45996.0</v>
      </c>
      <c r="F50" s="44"/>
      <c r="G50" s="47">
        <v>46003.0</v>
      </c>
      <c r="H50" s="44"/>
    </row>
    <row r="51">
      <c r="A51" s="47">
        <v>45983.0</v>
      </c>
      <c r="B51" s="44"/>
      <c r="C51" s="47">
        <v>45990.0</v>
      </c>
      <c r="D51" s="44"/>
      <c r="E51" s="47">
        <v>45997.0</v>
      </c>
      <c r="F51" s="44"/>
      <c r="G51" s="47">
        <v>46004.0</v>
      </c>
      <c r="H51" s="44"/>
    </row>
    <row r="52">
      <c r="A52" s="11"/>
      <c r="B52" s="52">
        <f>SUM(B46:B51)</f>
        <v>207000</v>
      </c>
      <c r="C52" s="11"/>
      <c r="D52" s="52">
        <f>SUM(D46:D51)</f>
        <v>207000</v>
      </c>
      <c r="E52" s="11"/>
      <c r="F52" s="52">
        <f>SUM(F46:F51)</f>
        <v>207000</v>
      </c>
      <c r="G52" s="11"/>
      <c r="H52" s="52">
        <f>SUM(H46:H51)</f>
        <v>207000</v>
      </c>
      <c r="I52" s="58">
        <v>4.0</v>
      </c>
    </row>
    <row r="53">
      <c r="A53" s="54" t="s">
        <v>39</v>
      </c>
      <c r="B53" s="55"/>
      <c r="C53" s="54" t="s">
        <v>39</v>
      </c>
      <c r="D53" s="55"/>
      <c r="E53" s="54" t="s">
        <v>39</v>
      </c>
      <c r="F53" s="55"/>
      <c r="G53" s="54" t="s">
        <v>39</v>
      </c>
      <c r="H53" s="55"/>
      <c r="I53" s="56">
        <v>1.0</v>
      </c>
    </row>
    <row r="54">
      <c r="A54" s="11"/>
    </row>
    <row r="55">
      <c r="A55" s="45" t="s">
        <v>37</v>
      </c>
      <c r="B55" s="45" t="s">
        <v>38</v>
      </c>
      <c r="C55" s="45" t="s">
        <v>37</v>
      </c>
      <c r="D55" s="45" t="s">
        <v>38</v>
      </c>
      <c r="E55" s="45" t="s">
        <v>37</v>
      </c>
      <c r="F55" s="45" t="s">
        <v>38</v>
      </c>
      <c r="G55" s="45" t="s">
        <v>37</v>
      </c>
      <c r="H55" s="45" t="s">
        <v>38</v>
      </c>
      <c r="I55" s="46"/>
    </row>
    <row r="56">
      <c r="A56" s="47">
        <v>46006.0</v>
      </c>
      <c r="B56" s="48">
        <v>207000.0</v>
      </c>
      <c r="C56" s="47">
        <v>46013.0</v>
      </c>
      <c r="D56" s="48">
        <v>207000.0</v>
      </c>
      <c r="E56" s="47">
        <v>46020.0</v>
      </c>
      <c r="F56" s="48">
        <v>207000.0</v>
      </c>
      <c r="G56" s="59">
        <v>46027.0</v>
      </c>
      <c r="H56" s="48">
        <v>207000.0</v>
      </c>
      <c r="I56" s="49">
        <f>B62+D62+F62+H62</f>
        <v>828000</v>
      </c>
    </row>
    <row r="57">
      <c r="A57" s="47">
        <v>46007.0</v>
      </c>
      <c r="B57" s="44"/>
      <c r="C57" s="47">
        <v>46014.0</v>
      </c>
      <c r="D57" s="50"/>
      <c r="E57" s="47">
        <v>46021.0</v>
      </c>
      <c r="F57" s="44"/>
      <c r="G57" s="59">
        <v>46028.0</v>
      </c>
      <c r="H57" s="44"/>
    </row>
    <row r="58">
      <c r="A58" s="47">
        <v>46008.0</v>
      </c>
      <c r="B58" s="44"/>
      <c r="C58" s="47">
        <v>46015.0</v>
      </c>
      <c r="D58" s="44"/>
      <c r="E58" s="47">
        <v>46022.0</v>
      </c>
      <c r="F58" s="44"/>
      <c r="G58" s="59">
        <v>46029.0</v>
      </c>
      <c r="H58" s="44"/>
    </row>
    <row r="59">
      <c r="A59" s="47">
        <v>46009.0</v>
      </c>
      <c r="B59" s="44"/>
      <c r="C59" s="47">
        <v>46016.0</v>
      </c>
      <c r="D59" s="51"/>
      <c r="E59" s="47">
        <v>46023.0</v>
      </c>
      <c r="F59" s="51"/>
      <c r="G59" s="59">
        <v>46030.0</v>
      </c>
      <c r="H59" s="51"/>
    </row>
    <row r="60">
      <c r="A60" s="47">
        <v>46010.0</v>
      </c>
      <c r="B60" s="44"/>
      <c r="C60" s="47">
        <v>46017.0</v>
      </c>
      <c r="D60" s="44"/>
      <c r="E60" s="47">
        <v>46024.0</v>
      </c>
      <c r="F60" s="44"/>
      <c r="G60" s="59">
        <v>46031.0</v>
      </c>
      <c r="H60" s="44"/>
    </row>
    <row r="61">
      <c r="A61" s="47">
        <v>46011.0</v>
      </c>
      <c r="B61" s="44"/>
      <c r="C61" s="47">
        <v>46018.0</v>
      </c>
      <c r="D61" s="44"/>
      <c r="E61" s="47">
        <v>46025.0</v>
      </c>
      <c r="F61" s="44"/>
      <c r="G61" s="59">
        <v>46032.0</v>
      </c>
      <c r="H61" s="44"/>
    </row>
    <row r="62">
      <c r="A62" s="11"/>
      <c r="B62" s="52">
        <f>SUM(B56:B61)</f>
        <v>207000</v>
      </c>
      <c r="C62" s="11"/>
      <c r="D62" s="52">
        <f>SUM(D56:D61)</f>
        <v>207000</v>
      </c>
      <c r="E62" s="11"/>
      <c r="F62" s="52">
        <f>SUM(F56:F61)</f>
        <v>207000</v>
      </c>
      <c r="G62" s="11"/>
      <c r="H62" s="52">
        <f>SUM(H56:H61)</f>
        <v>207000</v>
      </c>
      <c r="I62" s="58">
        <v>5.0</v>
      </c>
    </row>
    <row r="63">
      <c r="A63" s="54" t="s">
        <v>39</v>
      </c>
      <c r="B63" s="55"/>
      <c r="C63" s="54" t="s">
        <v>39</v>
      </c>
      <c r="D63" s="55"/>
      <c r="E63" s="54" t="s">
        <v>39</v>
      </c>
      <c r="F63" s="55"/>
      <c r="G63" s="54" t="s">
        <v>39</v>
      </c>
      <c r="H63" s="55"/>
      <c r="I63" s="56">
        <v>1.0</v>
      </c>
    </row>
    <row r="64">
      <c r="A64" s="11"/>
    </row>
    <row r="65">
      <c r="A65" s="45" t="s">
        <v>37</v>
      </c>
      <c r="B65" s="45" t="s">
        <v>38</v>
      </c>
      <c r="C65" s="45" t="s">
        <v>37</v>
      </c>
      <c r="D65" s="45" t="s">
        <v>38</v>
      </c>
      <c r="E65" s="45" t="s">
        <v>37</v>
      </c>
      <c r="F65" s="45" t="s">
        <v>38</v>
      </c>
      <c r="G65" s="45" t="s">
        <v>37</v>
      </c>
      <c r="H65" s="45" t="s">
        <v>38</v>
      </c>
      <c r="I65" s="46"/>
    </row>
    <row r="66">
      <c r="A66" s="59">
        <v>46034.0</v>
      </c>
      <c r="B66" s="48">
        <v>207000.0</v>
      </c>
      <c r="C66" s="59">
        <v>46041.0</v>
      </c>
      <c r="D66" s="48">
        <v>207000.0</v>
      </c>
      <c r="E66" s="59">
        <v>46048.0</v>
      </c>
      <c r="F66" s="48">
        <v>207000.0</v>
      </c>
      <c r="G66" s="59">
        <v>46055.0</v>
      </c>
      <c r="H66" s="48">
        <v>207000.0</v>
      </c>
      <c r="I66" s="49">
        <f>B72+D72+F72+H72</f>
        <v>828000</v>
      </c>
    </row>
    <row r="67">
      <c r="A67" s="59">
        <v>46035.0</v>
      </c>
      <c r="B67" s="44"/>
      <c r="C67" s="59">
        <v>46042.0</v>
      </c>
      <c r="D67" s="50"/>
      <c r="E67" s="59">
        <v>46049.0</v>
      </c>
      <c r="F67" s="44"/>
      <c r="G67" s="59">
        <v>46056.0</v>
      </c>
      <c r="H67" s="44"/>
    </row>
    <row r="68">
      <c r="A68" s="59">
        <v>46036.0</v>
      </c>
      <c r="B68" s="44"/>
      <c r="C68" s="59">
        <v>46043.0</v>
      </c>
      <c r="D68" s="44"/>
      <c r="E68" s="59">
        <v>46050.0</v>
      </c>
      <c r="F68" s="44"/>
      <c r="G68" s="59">
        <v>46057.0</v>
      </c>
      <c r="H68" s="44"/>
    </row>
    <row r="69">
      <c r="A69" s="59">
        <v>46037.0</v>
      </c>
      <c r="B69" s="44"/>
      <c r="C69" s="59">
        <v>46044.0</v>
      </c>
      <c r="D69" s="51"/>
      <c r="E69" s="59">
        <v>46051.0</v>
      </c>
      <c r="F69" s="51"/>
      <c r="G69" s="59">
        <v>46058.0</v>
      </c>
      <c r="H69" s="51"/>
    </row>
    <row r="70">
      <c r="A70" s="59">
        <v>46038.0</v>
      </c>
      <c r="B70" s="44"/>
      <c r="C70" s="59">
        <v>46045.0</v>
      </c>
      <c r="D70" s="44"/>
      <c r="E70" s="59">
        <v>46052.0</v>
      </c>
      <c r="F70" s="44"/>
      <c r="G70" s="59">
        <v>46059.0</v>
      </c>
      <c r="H70" s="44"/>
    </row>
    <row r="71">
      <c r="A71" s="59">
        <v>46039.0</v>
      </c>
      <c r="B71" s="44"/>
      <c r="C71" s="59">
        <v>46046.0</v>
      </c>
      <c r="D71" s="44"/>
      <c r="E71" s="59">
        <v>46053.0</v>
      </c>
      <c r="F71" s="44"/>
      <c r="G71" s="59">
        <v>46060.0</v>
      </c>
      <c r="H71" s="44"/>
    </row>
    <row r="72">
      <c r="A72" s="11"/>
      <c r="B72" s="52">
        <f>SUM(B66:B71)</f>
        <v>207000</v>
      </c>
      <c r="C72" s="11"/>
      <c r="D72" s="52">
        <f>SUM(D66:D71)</f>
        <v>207000</v>
      </c>
      <c r="E72" s="11"/>
      <c r="F72" s="52">
        <f>SUM(F66:F71)</f>
        <v>207000</v>
      </c>
      <c r="G72" s="11"/>
      <c r="H72" s="52">
        <f>SUM(H66:H71)</f>
        <v>207000</v>
      </c>
      <c r="I72" s="58">
        <v>6.0</v>
      </c>
    </row>
    <row r="73">
      <c r="A73" s="54" t="s">
        <v>39</v>
      </c>
      <c r="B73" s="60" t="s">
        <v>40</v>
      </c>
      <c r="C73" s="54" t="s">
        <v>39</v>
      </c>
      <c r="D73" s="55"/>
      <c r="E73" s="54" t="s">
        <v>39</v>
      </c>
      <c r="F73" s="60" t="s">
        <v>41</v>
      </c>
      <c r="G73" s="54" t="s">
        <v>39</v>
      </c>
      <c r="H73" s="60" t="s">
        <v>42</v>
      </c>
      <c r="I73" s="56">
        <v>1.0</v>
      </c>
    </row>
    <row r="74">
      <c r="A74" s="11"/>
    </row>
    <row r="75">
      <c r="A75" s="45" t="s">
        <v>37</v>
      </c>
      <c r="B75" s="45" t="s">
        <v>38</v>
      </c>
      <c r="C75" s="45" t="s">
        <v>37</v>
      </c>
      <c r="D75" s="45" t="s">
        <v>38</v>
      </c>
      <c r="E75" s="45" t="s">
        <v>37</v>
      </c>
      <c r="F75" s="45" t="s">
        <v>38</v>
      </c>
      <c r="G75" s="45" t="s">
        <v>37</v>
      </c>
      <c r="H75" s="45" t="s">
        <v>38</v>
      </c>
      <c r="I75" s="46"/>
    </row>
    <row r="76">
      <c r="A76" s="59">
        <v>46062.0</v>
      </c>
      <c r="B76" s="57">
        <v>207000.0</v>
      </c>
      <c r="C76" s="59">
        <v>46069.0</v>
      </c>
      <c r="D76" s="57">
        <v>207000.0</v>
      </c>
      <c r="E76" s="59">
        <v>46076.0</v>
      </c>
      <c r="F76" s="57">
        <v>207000.0</v>
      </c>
      <c r="G76" s="59">
        <v>46083.0</v>
      </c>
      <c r="H76" s="57">
        <v>207000.0</v>
      </c>
      <c r="I76" s="49">
        <f>B82+D82+F82+H82</f>
        <v>828000</v>
      </c>
    </row>
    <row r="77">
      <c r="A77" s="59">
        <v>46063.0</v>
      </c>
      <c r="B77" s="44"/>
      <c r="C77" s="59">
        <v>46070.0</v>
      </c>
      <c r="D77" s="50"/>
      <c r="E77" s="59">
        <v>46077.0</v>
      </c>
      <c r="F77" s="44"/>
      <c r="G77" s="59">
        <v>46084.0</v>
      </c>
      <c r="H77" s="44"/>
    </row>
    <row r="78">
      <c r="A78" s="59">
        <v>46064.0</v>
      </c>
      <c r="B78" s="44"/>
      <c r="C78" s="59">
        <v>46071.0</v>
      </c>
      <c r="D78" s="44"/>
      <c r="E78" s="59">
        <v>46078.0</v>
      </c>
      <c r="F78" s="44"/>
      <c r="G78" s="59">
        <v>46085.0</v>
      </c>
      <c r="H78" s="44"/>
    </row>
    <row r="79">
      <c r="A79" s="59">
        <v>46065.0</v>
      </c>
      <c r="B79" s="44"/>
      <c r="C79" s="59">
        <v>46072.0</v>
      </c>
      <c r="D79" s="51"/>
      <c r="E79" s="59">
        <v>46079.0</v>
      </c>
      <c r="F79" s="51"/>
      <c r="G79" s="59">
        <v>46086.0</v>
      </c>
      <c r="H79" s="51"/>
    </row>
    <row r="80">
      <c r="A80" s="59">
        <v>46066.0</v>
      </c>
      <c r="B80" s="44"/>
      <c r="C80" s="59">
        <v>46073.0</v>
      </c>
      <c r="D80" s="44"/>
      <c r="E80" s="59">
        <v>46080.0</v>
      </c>
      <c r="F80" s="44"/>
      <c r="G80" s="59">
        <v>46087.0</v>
      </c>
      <c r="H80" s="44"/>
    </row>
    <row r="81">
      <c r="A81" s="59">
        <v>46067.0</v>
      </c>
      <c r="B81" s="44"/>
      <c r="C81" s="59">
        <v>46074.0</v>
      </c>
      <c r="D81" s="44"/>
      <c r="E81" s="59">
        <v>46081.0</v>
      </c>
      <c r="F81" s="44"/>
      <c r="G81" s="59">
        <v>46088.0</v>
      </c>
      <c r="H81" s="44"/>
    </row>
    <row r="82">
      <c r="A82" s="11"/>
      <c r="B82" s="52">
        <f>SUM(B76:B81)</f>
        <v>207000</v>
      </c>
      <c r="C82" s="11"/>
      <c r="D82" s="52">
        <f>SUM(D76:D81)</f>
        <v>207000</v>
      </c>
      <c r="E82" s="11"/>
      <c r="F82" s="52">
        <f>SUM(F76:F81)</f>
        <v>207000</v>
      </c>
      <c r="G82" s="11"/>
      <c r="H82" s="52">
        <f>SUM(H76:H81)</f>
        <v>207000</v>
      </c>
      <c r="I82" s="58">
        <v>7.0</v>
      </c>
    </row>
    <row r="83">
      <c r="A83" s="54" t="s">
        <v>39</v>
      </c>
      <c r="B83" s="61" t="s">
        <v>43</v>
      </c>
      <c r="C83" s="54" t="s">
        <v>39</v>
      </c>
      <c r="D83" s="60" t="s">
        <v>44</v>
      </c>
      <c r="E83" s="54" t="s">
        <v>39</v>
      </c>
      <c r="F83" s="55"/>
      <c r="G83" s="54" t="s">
        <v>39</v>
      </c>
      <c r="H83" s="55"/>
      <c r="I83" s="56">
        <v>1.0</v>
      </c>
    </row>
    <row r="84">
      <c r="A84" s="11"/>
    </row>
    <row r="85">
      <c r="A85" s="45" t="s">
        <v>37</v>
      </c>
      <c r="B85" s="45" t="s">
        <v>38</v>
      </c>
      <c r="C85" s="45" t="s">
        <v>37</v>
      </c>
      <c r="D85" s="45" t="s">
        <v>38</v>
      </c>
      <c r="E85" s="45" t="s">
        <v>37</v>
      </c>
      <c r="F85" s="45" t="s">
        <v>38</v>
      </c>
      <c r="G85" s="45" t="s">
        <v>37</v>
      </c>
      <c r="H85" s="45" t="s">
        <v>38</v>
      </c>
      <c r="I85" s="46"/>
    </row>
    <row r="86">
      <c r="A86" s="59">
        <v>46090.0</v>
      </c>
      <c r="B86" s="62">
        <v>207000.0</v>
      </c>
      <c r="C86" s="59">
        <v>46097.0</v>
      </c>
      <c r="D86" s="62">
        <v>207000.0</v>
      </c>
      <c r="E86" s="59">
        <v>46104.0</v>
      </c>
      <c r="F86" s="62">
        <v>207000.0</v>
      </c>
      <c r="G86" s="59">
        <v>46111.0</v>
      </c>
      <c r="H86" s="62">
        <v>207000.0</v>
      </c>
      <c r="I86" s="49">
        <f>B92+D92+F92+H92</f>
        <v>828000</v>
      </c>
    </row>
    <row r="87">
      <c r="A87" s="59">
        <v>46091.0</v>
      </c>
      <c r="B87" s="44"/>
      <c r="C87" s="59">
        <v>46098.0</v>
      </c>
      <c r="D87" s="63" t="s">
        <v>45</v>
      </c>
      <c r="E87" s="59">
        <v>46105.0</v>
      </c>
      <c r="F87" s="44"/>
      <c r="G87" s="59">
        <v>46112.0</v>
      </c>
      <c r="H87" s="44"/>
    </row>
    <row r="88">
      <c r="A88" s="59">
        <v>46092.0</v>
      </c>
      <c r="B88" s="44"/>
      <c r="C88" s="59">
        <v>46099.0</v>
      </c>
      <c r="D88" s="44"/>
      <c r="E88" s="59">
        <v>46106.0</v>
      </c>
      <c r="F88" s="44"/>
      <c r="G88" s="59">
        <v>46113.0</v>
      </c>
      <c r="H88" s="44"/>
    </row>
    <row r="89">
      <c r="A89" s="59">
        <v>46093.0</v>
      </c>
      <c r="B89" s="44"/>
      <c r="C89" s="59">
        <v>46100.0</v>
      </c>
      <c r="D89" s="51"/>
      <c r="E89" s="59">
        <v>46107.0</v>
      </c>
      <c r="F89" s="51"/>
      <c r="G89" s="59">
        <v>46114.0</v>
      </c>
      <c r="H89" s="51"/>
    </row>
    <row r="90">
      <c r="A90" s="59">
        <v>46094.0</v>
      </c>
      <c r="B90" s="44"/>
      <c r="C90" s="59">
        <v>46101.0</v>
      </c>
      <c r="D90" s="44"/>
      <c r="E90" s="59">
        <v>46108.0</v>
      </c>
      <c r="F90" s="44"/>
      <c r="G90" s="59">
        <v>46115.0</v>
      </c>
      <c r="H90" s="44"/>
    </row>
    <row r="91">
      <c r="A91" s="59">
        <v>46095.0</v>
      </c>
      <c r="B91" s="44"/>
      <c r="C91" s="59">
        <v>46102.0</v>
      </c>
      <c r="D91" s="44"/>
      <c r="E91" s="59">
        <v>46109.0</v>
      </c>
      <c r="F91" s="44"/>
      <c r="G91" s="59">
        <v>46116.0</v>
      </c>
      <c r="H91" s="44"/>
    </row>
    <row r="92">
      <c r="A92" s="11"/>
      <c r="B92" s="52">
        <f>SUM(B86:B91)</f>
        <v>207000</v>
      </c>
      <c r="C92" s="11"/>
      <c r="D92" s="52">
        <f>SUM(D86:D91)</f>
        <v>207000</v>
      </c>
      <c r="E92" s="11"/>
      <c r="F92" s="52">
        <f>SUM(F86:F91)</f>
        <v>207000</v>
      </c>
      <c r="G92" s="11"/>
      <c r="H92" s="52">
        <f>SUM(H86:H91)</f>
        <v>207000</v>
      </c>
      <c r="I92" s="58">
        <v>8.0</v>
      </c>
    </row>
    <row r="93">
      <c r="A93" s="54" t="s">
        <v>39</v>
      </c>
      <c r="B93" s="55"/>
      <c r="C93" s="54" t="s">
        <v>39</v>
      </c>
      <c r="D93" s="55"/>
      <c r="E93" s="54" t="s">
        <v>39</v>
      </c>
      <c r="F93" s="55"/>
      <c r="G93" s="54" t="s">
        <v>39</v>
      </c>
      <c r="H93" s="55"/>
      <c r="I93" s="56">
        <v>1.0</v>
      </c>
    </row>
    <row r="94">
      <c r="A94" s="11"/>
    </row>
    <row r="95">
      <c r="A95" s="45" t="s">
        <v>37</v>
      </c>
      <c r="B95" s="45" t="s">
        <v>38</v>
      </c>
      <c r="C95" s="45" t="s">
        <v>37</v>
      </c>
      <c r="D95" s="45" t="s">
        <v>38</v>
      </c>
      <c r="E95" s="45" t="s">
        <v>37</v>
      </c>
      <c r="F95" s="45" t="s">
        <v>38</v>
      </c>
      <c r="G95" s="45" t="s">
        <v>37</v>
      </c>
      <c r="H95" s="45" t="s">
        <v>38</v>
      </c>
      <c r="I95" s="46"/>
    </row>
    <row r="96">
      <c r="A96" s="59">
        <v>46118.0</v>
      </c>
      <c r="B96" s="62">
        <v>207000.0</v>
      </c>
      <c r="C96" s="59">
        <v>46125.0</v>
      </c>
      <c r="D96" s="62">
        <v>207000.0</v>
      </c>
      <c r="E96" s="59">
        <v>46132.0</v>
      </c>
      <c r="F96" s="62">
        <v>207000.0</v>
      </c>
      <c r="G96" s="59">
        <v>46139.0</v>
      </c>
      <c r="H96" s="62">
        <v>207000.0</v>
      </c>
      <c r="I96" s="49">
        <f>B102+D102+F102+H102</f>
        <v>828000</v>
      </c>
    </row>
    <row r="97">
      <c r="A97" s="59">
        <v>46119.0</v>
      </c>
      <c r="B97" s="44"/>
      <c r="C97" s="59">
        <v>46126.0</v>
      </c>
      <c r="D97" s="50"/>
      <c r="E97" s="59">
        <v>46133.0</v>
      </c>
      <c r="F97" s="44"/>
      <c r="G97" s="59">
        <v>46140.0</v>
      </c>
      <c r="H97" s="44"/>
    </row>
    <row r="98">
      <c r="A98" s="59">
        <v>46120.0</v>
      </c>
      <c r="B98" s="44"/>
      <c r="C98" s="59">
        <v>46127.0</v>
      </c>
      <c r="D98" s="44"/>
      <c r="E98" s="59">
        <v>46134.0</v>
      </c>
      <c r="F98" s="44"/>
      <c r="G98" s="59">
        <v>46141.0</v>
      </c>
      <c r="H98" s="44"/>
    </row>
    <row r="99">
      <c r="A99" s="59">
        <v>46121.0</v>
      </c>
      <c r="B99" s="44"/>
      <c r="C99" s="59">
        <v>46128.0</v>
      </c>
      <c r="D99" s="51"/>
      <c r="E99" s="59">
        <v>46135.0</v>
      </c>
      <c r="F99" s="51"/>
      <c r="G99" s="59">
        <v>46142.0</v>
      </c>
      <c r="H99" s="51"/>
    </row>
    <row r="100">
      <c r="A100" s="59">
        <v>46122.0</v>
      </c>
      <c r="B100" s="44"/>
      <c r="C100" s="59">
        <v>46129.0</v>
      </c>
      <c r="D100" s="44"/>
      <c r="E100" s="59">
        <v>46136.0</v>
      </c>
      <c r="F100" s="44"/>
      <c r="G100" s="59">
        <v>46143.0</v>
      </c>
      <c r="H100" s="44"/>
    </row>
    <row r="101">
      <c r="A101" s="59">
        <v>46123.0</v>
      </c>
      <c r="B101" s="44"/>
      <c r="C101" s="59">
        <v>46130.0</v>
      </c>
      <c r="D101" s="44"/>
      <c r="E101" s="59">
        <v>46137.0</v>
      </c>
      <c r="F101" s="44"/>
      <c r="G101" s="59">
        <v>46144.0</v>
      </c>
      <c r="H101" s="44"/>
    </row>
    <row r="102">
      <c r="A102" s="11"/>
      <c r="B102" s="52">
        <f>SUM(B96:B101)</f>
        <v>207000</v>
      </c>
      <c r="C102" s="11"/>
      <c r="D102" s="52">
        <f>SUM(D96:D101)</f>
        <v>207000</v>
      </c>
      <c r="E102" s="11"/>
      <c r="F102" s="52">
        <f>SUM(F96:F101)</f>
        <v>207000</v>
      </c>
      <c r="G102" s="11"/>
      <c r="H102" s="52">
        <f>SUM(H96:H101)</f>
        <v>207000</v>
      </c>
      <c r="I102" s="58">
        <v>9.0</v>
      </c>
    </row>
    <row r="103">
      <c r="A103" s="54" t="s">
        <v>39</v>
      </c>
      <c r="B103" s="55"/>
      <c r="C103" s="54" t="s">
        <v>39</v>
      </c>
      <c r="D103" s="55"/>
      <c r="E103" s="54" t="s">
        <v>39</v>
      </c>
      <c r="F103" s="55"/>
      <c r="G103" s="54" t="s">
        <v>39</v>
      </c>
      <c r="H103" s="55"/>
      <c r="I103" s="56">
        <v>1.0</v>
      </c>
    </row>
    <row r="104">
      <c r="A104" s="11"/>
    </row>
    <row r="105">
      <c r="A105" s="45" t="s">
        <v>37</v>
      </c>
      <c r="B105" s="45" t="s">
        <v>38</v>
      </c>
      <c r="C105" s="45" t="s">
        <v>37</v>
      </c>
      <c r="D105" s="45" t="s">
        <v>38</v>
      </c>
      <c r="E105" s="45" t="s">
        <v>37</v>
      </c>
      <c r="F105" s="45" t="s">
        <v>38</v>
      </c>
      <c r="G105" s="45" t="s">
        <v>37</v>
      </c>
      <c r="H105" s="45" t="s">
        <v>38</v>
      </c>
      <c r="I105" s="46"/>
    </row>
    <row r="106">
      <c r="A106" s="59">
        <v>46146.0</v>
      </c>
      <c r="B106" s="62">
        <v>207000.0</v>
      </c>
      <c r="C106" s="59">
        <v>46153.0</v>
      </c>
      <c r="D106" s="62">
        <v>207000.0</v>
      </c>
      <c r="E106" s="59">
        <v>46160.0</v>
      </c>
      <c r="F106" s="62">
        <v>207000.0</v>
      </c>
      <c r="G106" s="59">
        <v>46167.0</v>
      </c>
      <c r="H106" s="48"/>
      <c r="I106" s="49">
        <f>B112+D112+F112+H112</f>
        <v>621000</v>
      </c>
    </row>
    <row r="107">
      <c r="A107" s="59">
        <v>46147.0</v>
      </c>
      <c r="B107" s="44"/>
      <c r="C107" s="59">
        <v>46154.0</v>
      </c>
      <c r="D107" s="50"/>
      <c r="E107" s="59">
        <v>46161.0</v>
      </c>
      <c r="F107" s="44"/>
      <c r="G107" s="59">
        <v>46168.0</v>
      </c>
      <c r="H107" s="44"/>
    </row>
    <row r="108">
      <c r="A108" s="59">
        <v>46148.0</v>
      </c>
      <c r="B108" s="44"/>
      <c r="C108" s="59">
        <v>46155.0</v>
      </c>
      <c r="D108" s="44"/>
      <c r="E108" s="59">
        <v>46162.0</v>
      </c>
      <c r="F108" s="44"/>
      <c r="G108" s="59">
        <v>46169.0</v>
      </c>
      <c r="H108" s="44"/>
    </row>
    <row r="109">
      <c r="A109" s="59">
        <v>46149.0</v>
      </c>
      <c r="B109" s="44"/>
      <c r="C109" s="59">
        <v>46156.0</v>
      </c>
      <c r="D109" s="51"/>
      <c r="E109" s="59">
        <v>46163.0</v>
      </c>
      <c r="F109" s="51"/>
      <c r="G109" s="59">
        <v>46170.0</v>
      </c>
      <c r="H109" s="51"/>
    </row>
    <row r="110">
      <c r="A110" s="59">
        <v>46150.0</v>
      </c>
      <c r="B110" s="44"/>
      <c r="C110" s="59">
        <v>46157.0</v>
      </c>
      <c r="D110" s="44"/>
      <c r="E110" s="59">
        <v>46164.0</v>
      </c>
      <c r="F110" s="44"/>
      <c r="G110" s="59">
        <v>46171.0</v>
      </c>
      <c r="H110" s="44"/>
    </row>
    <row r="111">
      <c r="A111" s="59">
        <v>46151.0</v>
      </c>
      <c r="B111" s="44"/>
      <c r="C111" s="59">
        <v>46158.0</v>
      </c>
      <c r="D111" s="44"/>
      <c r="E111" s="59">
        <v>46165.0</v>
      </c>
      <c r="F111" s="44"/>
      <c r="G111" s="59">
        <v>46172.0</v>
      </c>
      <c r="H111" s="44"/>
    </row>
    <row r="112">
      <c r="A112" s="11"/>
      <c r="B112" s="52">
        <f>SUM(B106:B111)</f>
        <v>207000</v>
      </c>
      <c r="C112" s="11"/>
      <c r="D112" s="52">
        <f>SUM(D106:D111)</f>
        <v>207000</v>
      </c>
      <c r="E112" s="11"/>
      <c r="F112" s="52">
        <f>SUM(F106:F111)</f>
        <v>207000</v>
      </c>
      <c r="G112" s="11"/>
      <c r="H112" s="52">
        <f>SUM(H106:H111)</f>
        <v>0</v>
      </c>
      <c r="I112" s="58">
        <v>10.0</v>
      </c>
    </row>
    <row r="113">
      <c r="A113" s="54" t="s">
        <v>39</v>
      </c>
      <c r="B113" s="55"/>
      <c r="C113" s="54" t="s">
        <v>39</v>
      </c>
      <c r="D113" s="55"/>
      <c r="E113" s="54" t="s">
        <v>39</v>
      </c>
      <c r="F113" s="55"/>
      <c r="G113" s="54" t="s">
        <v>39</v>
      </c>
      <c r="H113" s="55"/>
      <c r="I113" s="56"/>
    </row>
    <row r="114">
      <c r="A114" s="11"/>
    </row>
  </sheetData>
  <mergeCells count="31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I36:I41"/>
    <mergeCell ref="I46:I51"/>
    <mergeCell ref="I56:I61"/>
    <mergeCell ref="I66:I71"/>
    <mergeCell ref="I76:I81"/>
    <mergeCell ref="I86:I91"/>
    <mergeCell ref="I96:I101"/>
    <mergeCell ref="I106:I111"/>
    <mergeCell ref="A54:I54"/>
    <mergeCell ref="A64:I64"/>
    <mergeCell ref="A74:I74"/>
    <mergeCell ref="A84:I84"/>
    <mergeCell ref="A94:I94"/>
    <mergeCell ref="A104:I104"/>
    <mergeCell ref="A114:I114"/>
    <mergeCell ref="E10:F11"/>
    <mergeCell ref="G10:G11"/>
    <mergeCell ref="I16:I21"/>
    <mergeCell ref="A24:I24"/>
    <mergeCell ref="I26:I31"/>
    <mergeCell ref="A34:I34"/>
    <mergeCell ref="A44:I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25.25"/>
    <col customWidth="1" min="3" max="3" width="24.88"/>
    <col customWidth="1" min="4" max="4" width="25.5"/>
    <col customWidth="1" min="5" max="5" width="24.63"/>
  </cols>
  <sheetData>
    <row r="1">
      <c r="A1" s="64" t="s">
        <v>36</v>
      </c>
      <c r="B1" s="65"/>
      <c r="C1" s="65"/>
      <c r="D1" s="65"/>
      <c r="E1" s="65"/>
      <c r="F1" s="66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67"/>
      <c r="B2" s="11"/>
      <c r="C2" s="11"/>
      <c r="D2" s="11"/>
      <c r="E2" s="11"/>
      <c r="F2" s="68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69" t="s">
        <v>46</v>
      </c>
      <c r="B3" s="70"/>
      <c r="C3" s="71" t="str">
        <f>PAGOS!A7</f>
        <v>DENYS JOSE </v>
      </c>
      <c r="D3" s="72"/>
      <c r="E3" s="72"/>
      <c r="F3" s="73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74" t="s">
        <v>47</v>
      </c>
      <c r="B4" s="75">
        <f>PAGOS!A16</f>
        <v>45894</v>
      </c>
      <c r="C4" s="76"/>
      <c r="D4" s="77"/>
      <c r="E4" s="77"/>
      <c r="F4" s="78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74" t="s">
        <v>48</v>
      </c>
      <c r="B5" s="79">
        <f>PAGOS!G2</f>
        <v>6800000</v>
      </c>
      <c r="C5" s="80" t="s">
        <v>49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74" t="s">
        <v>50</v>
      </c>
      <c r="B6" s="81">
        <f>PAGOS!H2</f>
        <v>1050000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82" t="s">
        <v>51</v>
      </c>
      <c r="B7" s="79">
        <f>B5-B6</f>
        <v>5750000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83" t="s">
        <v>52</v>
      </c>
      <c r="B8" s="84">
        <f>PAGOS!C5</f>
        <v>14835000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74" t="s">
        <v>53</v>
      </c>
      <c r="B9" s="8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85" t="s">
        <v>30</v>
      </c>
      <c r="B10" s="86" t="str">
        <f>PAGOS!F8</f>
        <v/>
      </c>
      <c r="C10" s="87" t="str">
        <f>PAGOS!G4</f>
        <v>SEMANAL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88"/>
      <c r="B11" s="89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85" t="s">
        <v>25</v>
      </c>
      <c r="B12" s="86" t="str">
        <f>PAGOS!G8</f>
        <v/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90" t="s">
        <v>54</v>
      </c>
      <c r="B13" s="91"/>
      <c r="C13" s="92">
        <f>PAGOS!G5</f>
        <v>206041.6667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90" t="s">
        <v>55</v>
      </c>
      <c r="B14" s="91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93" t="s">
        <v>56</v>
      </c>
      <c r="B15" s="94">
        <v>26.0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95" t="s">
        <v>57</v>
      </c>
      <c r="B16" s="96">
        <f>B9+B10+B11+B12+B14</f>
        <v>0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97" t="s">
        <v>58</v>
      </c>
      <c r="B17" s="98" t="s">
        <v>59</v>
      </c>
      <c r="C17" s="98" t="s">
        <v>60</v>
      </c>
      <c r="D17" s="98" t="s">
        <v>61</v>
      </c>
      <c r="E17" s="98" t="s">
        <v>62</v>
      </c>
      <c r="F17" s="2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99">
        <f>PAGOS!A10</f>
        <v>8078000</v>
      </c>
      <c r="B18" s="100">
        <f>PAGOS!C10</f>
        <v>6757000</v>
      </c>
      <c r="C18" s="101">
        <f>PAGOS!G10</f>
        <v>0</v>
      </c>
      <c r="D18" s="102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D19" s="102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</sheetData>
  <mergeCells count="9">
    <mergeCell ref="B18:B19"/>
    <mergeCell ref="C18:C19"/>
    <mergeCell ref="A1:F1"/>
    <mergeCell ref="A3:B3"/>
    <mergeCell ref="C3:F4"/>
    <mergeCell ref="C5:F9"/>
    <mergeCell ref="C10:F12"/>
    <mergeCell ref="C13:F16"/>
    <mergeCell ref="A18:A19"/>
  </mergeCells>
  <drawing r:id="rId1"/>
</worksheet>
</file>