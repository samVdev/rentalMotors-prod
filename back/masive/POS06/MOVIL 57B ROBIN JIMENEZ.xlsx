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media/image1.png" ContentType="image/png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 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<sst xmlns="http://schemas.openxmlformats.org/spreadsheetml/2006/main" count="61" uniqueCount="40">
  <si>
    <t xml:space="preserve">CODIGO</t>
  </si>
  <si>
    <t xml:space="preserve">MOTO</t>
  </si>
  <si>
    <t xml:space="preserve">MODELO</t>
  </si>
  <si>
    <t xml:space="preserve">MARCA</t>
  </si>
  <si>
    <t xml:space="preserve">PLACA</t>
  </si>
  <si>
    <t xml:space="preserve">MOVIL</t>
  </si>
  <si>
    <t xml:space="preserve">PRECIO </t>
  </si>
  <si>
    <t xml:space="preserve">INICIAL</t>
  </si>
  <si>
    <t xml:space="preserve">A21977</t>
  </si>
  <si>
    <t xml:space="preserve">GN</t>
  </si>
  <si>
    <t xml:space="preserve">SUZUKI</t>
  </si>
  <si>
    <t xml:space="preserve">BJS-I99I </t>
  </si>
  <si>
    <t xml:space="preserve">57B</t>
  </si>
  <si>
    <t xml:space="preserve">COSTO -INICIAL</t>
  </si>
  <si>
    <t xml:space="preserve">INTERES</t>
  </si>
  <si>
    <t xml:space="preserve">COSTO NETO</t>
  </si>
  <si>
    <t xml:space="preserve">MESES</t>
  </si>
  <si>
    <t xml:space="preserve">MESUAL</t>
  </si>
  <si>
    <t xml:space="preserve">QUINCENAL </t>
  </si>
  <si>
    <t xml:space="preserve">SEMANAL</t>
  </si>
  <si>
    <t xml:space="preserve">DIARIO </t>
  </si>
  <si>
    <t xml:space="preserve">NOMBRES</t>
  </si>
  <si>
    <t xml:space="preserve">APELLIDO</t>
  </si>
  <si>
    <t xml:space="preserve">CEDULA</t>
  </si>
  <si>
    <t xml:space="preserve">NACIONALIDAD </t>
  </si>
  <si>
    <t xml:space="preserve">NUMERO</t>
  </si>
  <si>
    <t xml:space="preserve">SOAT</t>
  </si>
  <si>
    <t xml:space="preserve">Traspaso de propiedad</t>
  </si>
  <si>
    <t xml:space="preserve">PRESTAMO.</t>
  </si>
  <si>
    <t xml:space="preserve">ROBIN JOSE</t>
  </si>
  <si>
    <t xml:space="preserve">JIMENEZ</t>
  </si>
  <si>
    <t xml:space="preserve">COLOMBIANA</t>
  </si>
  <si>
    <t xml:space="preserve">ACTIVO</t>
  </si>
  <si>
    <t xml:space="preserve">SALDO ACTUAL PAGADO</t>
  </si>
  <si>
    <t xml:space="preserve">DEUDA  A PAGAR</t>
  </si>
  <si>
    <t xml:space="preserve">DEUDA TOTAL.</t>
  </si>
  <si>
    <t xml:space="preserve">DEUDA ADQUIRIDA </t>
  </si>
  <si>
    <t xml:space="preserve">RENTAL MOTORS S.A.S</t>
  </si>
  <si>
    <t xml:space="preserve">FECHA</t>
  </si>
  <si>
    <t xml:space="preserve">ABONO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</si>
</sst>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[$ $]#,##0"/>
    <numFmt numFmtId="166" formatCode="0"/>
    <numFmt numFmtId="167" formatCode="@"/>
    <numFmt numFmtId="168" formatCode="[$$]#,##0.00"/>
    <numFmt numFmtId="169" formatCode="#,##0.00"/>
    <numFmt numFmtId="170" formatCode="#,##0"/>
    <numFmt numFmtId="171" formatCode="General"/>
    <numFmt numFmtId="172" formatCode="dd/mm/yyyy"/>
    <numFmt numFmtId="173" formatCode="\$#,##0.00"/>
  </numFmts>
  <fonts count="23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2"/>
      <color rgb="FF000000"/>
      <name val="Nunito"/>
      <family val="0"/>
      <charset val="1"/>
    </font>
    <font>
      <b val="true"/>
      <sz val="12"/>
      <color rgb="FFFFFFFF"/>
      <name val="Nunito"/>
      <family val="0"/>
      <charset val="1"/>
    </font>
    <font>
      <b val="true"/>
      <sz val="12"/>
      <color rgb="FF000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4"/>
      <color rgb="FF0077D9"/>
      <name val="Arial"/>
      <family val="0"/>
      <charset val="1"/>
    </font>
    <font>
      <b val="true"/>
      <sz val="11"/>
      <color rgb="FF0077D9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sz val="11"/>
      <color rgb="FFFFFFFF"/>
      <name val="Arial"/>
      <family val="0"/>
      <charset val="1"/>
    </font>
    <font>
      <sz val="20"/>
      <color rgb="FFFFFFFF"/>
      <name val="Arial"/>
      <family val="0"/>
      <charset val="1"/>
    </font>
    <font>
      <sz val="25"/>
      <color rgb="FF000000"/>
      <name val="Arial"/>
      <family val="0"/>
      <charset val="1"/>
    </font>
    <font>
      <b val="true"/>
      <sz val="25"/>
      <color rgb="FFFFFFFF"/>
      <name val="Arial"/>
      <family val="0"/>
      <charset val="1"/>
    </font>
    <font>
      <b val="true"/>
      <sz val="24"/>
      <color rgb="FFFFFFFF"/>
      <name val="Arial"/>
      <family val="0"/>
      <charset val="1"/>
    </font>
    <font>
      <b val="true"/>
      <sz val="25"/>
      <color rgb="FF000000"/>
      <name val="Arial"/>
      <family val="0"/>
      <charset val="1"/>
    </font>
    <font>
      <b val="true"/>
      <sz val="20"/>
      <color rgb="FF000000"/>
      <name val="Arial"/>
      <family val="0"/>
      <charset val="1"/>
    </font>
    <font>
      <b val="true"/>
      <sz val="20"/>
      <color rgb="FFFFFFFF"/>
      <name val="Arial"/>
      <family val="0"/>
      <charset val="1"/>
    </font>
    <font>
      <sz val="30"/>
      <color rgb="FF000000"/>
      <name val="Arial"/>
      <family val="0"/>
      <charset val="1"/>
    </font>
    <font>
      <sz val="11"/>
      <color rgb="FF34A853"/>
      <name val="Arial"/>
      <family val="0"/>
      <charset val="1"/>
    </font>
  </fonts>
  <fills count="23">
    <fill>
      <patternFill patternType="none"/>
    </fill>
    <fill>
      <patternFill patternType="gray125"/>
    </fill>
    <fill>
      <patternFill patternType="solid">
        <fgColor rgb="FF0A99D6"/>
        <bgColor rgb="FF0077D9"/>
      </patternFill>
    </fill>
    <fill>
      <patternFill patternType="solid">
        <fgColor rgb="FF999999"/>
        <bgColor rgb="FF808080"/>
      </patternFill>
    </fill>
    <fill>
      <patternFill patternType="solid">
        <fgColor rgb="FF000000"/>
        <bgColor rgb="FF003300"/>
      </patternFill>
    </fill>
    <fill>
      <patternFill patternType="solid">
        <fgColor rgb="FF0000FF"/>
        <bgColor rgb="FF0000FF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34A853"/>
      </patternFill>
    </fill>
    <fill>
      <patternFill patternType="solid">
        <fgColor rgb="FF3D85C6"/>
        <bgColor rgb="FF4285F4"/>
      </patternFill>
    </fill>
    <fill>
      <patternFill patternType="solid">
        <fgColor rgb="FFF2F2F2"/>
        <bgColor rgb="FFFFFFFF"/>
      </patternFill>
    </fill>
    <fill>
      <patternFill patternType="solid">
        <fgColor rgb="FFB7B7B7"/>
        <bgColor rgb="FF999999"/>
      </patternFill>
    </fill>
    <fill>
      <patternFill patternType="solid">
        <fgColor rgb="FFFF6D01"/>
        <bgColor rgb="FFFF9900"/>
      </patternFill>
    </fill>
    <fill>
      <patternFill patternType="solid">
        <fgColor rgb="FFFF9900"/>
        <bgColor rgb="FFFF6D01"/>
      </patternFill>
    </fill>
    <fill>
      <patternFill patternType="solid">
        <fgColor rgb="FF46BDC6"/>
        <bgColor rgb="FF34A853"/>
      </patternFill>
    </fill>
    <fill>
      <patternFill patternType="solid">
        <fgColor rgb="FF1155CC"/>
        <bgColor rgb="FF0077D9"/>
      </patternFill>
    </fill>
    <fill>
      <patternFill patternType="solid">
        <fgColor rgb="FFEA4335"/>
        <bgColor rgb="FFFF6D01"/>
      </patternFill>
    </fill>
    <fill>
      <patternFill patternType="solid">
        <fgColor rgb="FFFF0000"/>
        <bgColor rgb="FFEA4335"/>
      </patternFill>
    </fill>
    <fill>
      <patternFill patternType="solid">
        <fgColor rgb="FF4285F4"/>
        <bgColor rgb="FF3D85C6"/>
      </patternFill>
    </fill>
    <fill>
      <patternFill patternType="solid">
        <fgColor rgb="FF134F5C"/>
        <bgColor rgb="FF434343"/>
      </patternFill>
    </fill>
    <fill>
      <patternFill patternType="solid">
        <fgColor rgb="FFFFFFFF"/>
        <bgColor rgb="FFF2F2F2"/>
      </patternFill>
    </fill>
    <fill>
      <patternFill patternType="solid">
        <fgColor rgb="FF434343"/>
        <bgColor rgb="FF333300"/>
      </patternFill>
    </fill>
    <fill>
      <patternFill patternType="solid">
        <fgColor rgb="FF34A853"/>
        <bgColor rgb="FF46BDC6"/>
      </patternFill>
    </fill>
    <fill>
      <patternFill patternType="solid">
        <fgColor rgb="FF666666"/>
        <bgColor rgb="FF808080"/>
      </patternFill>
    </fill>
  </fills>
  <borders count="8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>
        <color rgb="FF4285F4"/>
      </left>
      <right/>
      <top/>
      <bottom/>
      <diagonal/>
    </border>
    <border diagonalUp="false" diagonalDown="false">
      <left/>
      <right style="thin">
        <color rgb="FF4285F4"/>
      </right>
      <top style="thin">
        <color rgb="FF4285F4"/>
      </top>
      <bottom/>
      <diagonal/>
    </border>
    <border diagonalUp="false" diagonalDown="false">
      <left/>
      <right style="thin">
        <color rgb="FF4285F4"/>
      </right>
      <top/>
      <bottom/>
      <diagonal/>
    </border>
    <border diagonalUp="false" diagonalDown="false">
      <left/>
      <right style="thin">
        <color rgb="FF4285F4"/>
      </right>
      <top/>
      <bottom style="thin">
        <color rgb="FF4285F4"/>
      </bottom>
      <diagonal/>
    </border>
    <border diagonalUp="false" diagonalDown="false">
      <left/>
      <right/>
      <top/>
      <bottom style="thin">
        <color rgb="FF4285F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5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7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6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6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6" fillId="6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8" fillId="7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8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9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11" fillId="9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8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2" fillId="1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11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1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1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13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5" fillId="1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5" fillId="1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13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3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3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14" fillId="4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15" fillId="1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6" fillId="1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7" fillId="16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14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18" fillId="13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17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1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17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18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1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12" fillId="1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9" fillId="19" borderId="0" xfId="0" applyFont="true" applyBorder="true" applyAlignment="true" applyProtection="false">
      <alignment horizontal="center" vertical="center" textRotation="45" wrapText="false" indent="0" shrinkToFit="false"/>
      <protection locked="true" hidden="false"/>
    </xf>
    <xf numFmtId="172" fontId="5" fillId="2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20" fillId="4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1" fillId="1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5" fillId="19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2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2" fillId="21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5" fillId="2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5" fillId="2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9" fillId="2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3" fontId="5" fillId="2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13" fillId="2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A99D6"/>
      <rgbColor rgb="FFB7B7B7"/>
      <rgbColor rgb="FF808080"/>
      <rgbColor rgb="FF9999FF"/>
      <rgbColor rgb="FFEA4335"/>
      <rgbColor rgb="FFF2F2F2"/>
      <rgbColor rgb="FFCCFFFF"/>
      <rgbColor rgb="FF660066"/>
      <rgbColor rgb="FFFF8080"/>
      <rgbColor rgb="FF0077D9"/>
      <rgbColor rgb="FFCCCCFF"/>
      <rgbColor rgb="FF000080"/>
      <rgbColor rgb="FFFF00FF"/>
      <rgbColor rgb="FFFFFF00"/>
      <rgbColor rgb="FF00FFFF"/>
      <rgbColor rgb="FF800080"/>
      <rgbColor rgb="FF800000"/>
      <rgbColor rgb="FF3D85C6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285F4"/>
      <rgbColor rgb="FF46BDC6"/>
      <rgbColor rgb="FF99CC00"/>
      <rgbColor rgb="FFFFCC00"/>
      <rgbColor rgb="FFFF9900"/>
      <rgbColor rgb="FFFF6D01"/>
      <rgbColor rgb="FF666666"/>
      <rgbColor rgb="FF999999"/>
      <rgbColor rgb="FF134F5C"/>
      <rgbColor rgb="FF34A853"/>
      <rgbColor rgb="FF003300"/>
      <rgbColor rgb="FF333300"/>
      <rgbColor rgb="FF993300"/>
      <rgbColor rgb="FF993366"/>
      <rgbColor rgb="FF1155CC"/>
      <rgbColor rgb="FF43434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118440</xdr:colOff>
      <xdr:row>0</xdr:row>
      <xdr:rowOff>0</xdr:rowOff>
    </xdr:from>
    <xdr:to>
      <xdr:col>9</xdr:col>
      <xdr:colOff>242280</xdr:colOff>
      <xdr:row>13</xdr:row>
      <xdr:rowOff>66240</xdr:rowOff>
    </xdr:to>
    <xdr:pic>
      <xdr:nvPicPr>
        <xdr:cNvPr id="0" name="image1.png" descr=""/>
        <xdr:cNvPicPr/>
      </xdr:nvPicPr>
      <xdr:blipFill>
        <a:blip r:embed="rId1"/>
        <a:stretch/>
      </xdr:blipFill>
      <xdr:spPr>
        <a:xfrm>
          <a:off x="10816200" y="0"/>
          <a:ext cx="2018880" cy="2895120"/>
        </a:xfrm>
        <a:prstGeom prst="rect">
          <a:avLst/>
        </a:prstGeom>
        <a:ln w="0">
          <a:noFill/>
        </a:ln>
      </xdr:spPr>
    </xdr:pic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4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4" topLeftCell="A15" activePane="bottomLeft" state="frozen"/>
      <selection pane="topLeft" activeCell="A1" activeCellId="0" sqref="A1"/>
      <selection pane="bottomLeft" activeCell="D33" activeCellId="0" sqref="D33"/>
    </sheetView>
  </sheetViews>
  <sheetFormatPr defaultColWidth="12.6328125" defaultRowHeight="15.75" zeroHeight="false" outlineLevelRow="0" outlineLevelCol="0"/>
  <cols>
    <col collapsed="false" customWidth="true" hidden="false" outlineLevel="0" max="1" min="1" style="0" width="18.25"/>
    <col collapsed="false" customWidth="true" hidden="false" outlineLevel="0" max="2" min="2" style="0" width="17.75"/>
    <col collapsed="false" customWidth="true" hidden="false" outlineLevel="0" max="3" min="3" style="0" width="18.5"/>
    <col collapsed="false" customWidth="true" hidden="false" outlineLevel="0" max="4" min="4" style="0" width="18.38"/>
    <col collapsed="false" customWidth="true" hidden="false" outlineLevel="0" max="5" min="5" style="0" width="18.88"/>
    <col collapsed="false" customWidth="true" hidden="false" outlineLevel="0" max="6" min="6" style="0" width="18.25"/>
    <col collapsed="false" customWidth="true" hidden="false" outlineLevel="0" max="7" min="7" style="0" width="19.38"/>
    <col collapsed="false" customWidth="true" hidden="false" outlineLevel="0" max="8" min="8" style="0" width="22.38"/>
    <col collapsed="false" customWidth="true" hidden="false" outlineLevel="0" max="9" min="9" style="0" width="26.88"/>
  </cols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customFormat="false" ht="15.75" hidden="false" customHeight="false" outlineLevel="0" collapsed="false">
      <c r="A2" s="4" t="s">
        <v>8</v>
      </c>
      <c r="B2" s="5" t="s">
        <v>9</v>
      </c>
      <c r="C2" s="5" t="n">
        <v>2027</v>
      </c>
      <c r="D2" s="4" t="s">
        <v>10</v>
      </c>
      <c r="E2" s="6" t="s">
        <v>11</v>
      </c>
      <c r="F2" s="7" t="s">
        <v>12</v>
      </c>
      <c r="G2" s="8" t="n">
        <v>7800000</v>
      </c>
      <c r="H2" s="8" t="n">
        <v>1800000</v>
      </c>
      <c r="I2" s="2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customFormat="false" ht="15.75" hidden="false" customHeight="false" outlineLevel="0" collapsed="false">
      <c r="A3" s="9"/>
      <c r="B3" s="9"/>
      <c r="C3" s="9"/>
      <c r="D3" s="9"/>
      <c r="E3" s="9"/>
      <c r="F3" s="9"/>
      <c r="G3" s="9"/>
      <c r="H3" s="9"/>
      <c r="I3" s="2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customFormat="false" ht="15.75" hidden="false" customHeight="false" outlineLevel="0" collapsed="false">
      <c r="A4" s="10" t="s">
        <v>13</v>
      </c>
      <c r="B4" s="11" t="s">
        <v>14</v>
      </c>
      <c r="C4" s="11" t="s">
        <v>15</v>
      </c>
      <c r="D4" s="11" t="s">
        <v>16</v>
      </c>
      <c r="E4" s="11" t="s">
        <v>17</v>
      </c>
      <c r="F4" s="11" t="s">
        <v>18</v>
      </c>
      <c r="G4" s="11" t="s">
        <v>19</v>
      </c>
      <c r="H4" s="11" t="s">
        <v>20</v>
      </c>
      <c r="I4" s="2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customFormat="false" ht="15.75" hidden="false" customHeight="false" outlineLevel="0" collapsed="false">
      <c r="A5" s="12" t="n">
        <f aca="false">G2-H2</f>
        <v>6000000</v>
      </c>
      <c r="B5" s="12" t="n">
        <v>3.57</v>
      </c>
      <c r="C5" s="13" t="n">
        <f aca="false">A5*B5</f>
        <v>21420000</v>
      </c>
      <c r="D5" s="14" t="n">
        <v>36</v>
      </c>
      <c r="E5" s="15" t="n">
        <f aca="false">C5/D5</f>
        <v>595000</v>
      </c>
      <c r="F5" s="16" t="n">
        <f aca="false">E5/2</f>
        <v>297500</v>
      </c>
      <c r="G5" s="15" t="n">
        <f aca="false">E5/4</f>
        <v>148750</v>
      </c>
      <c r="H5" s="15" t="n">
        <f aca="false">G5/6</f>
        <v>24791.66667</v>
      </c>
      <c r="I5" s="2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customFormat="false" ht="15.75" hidden="false" customHeight="false" outlineLevel="0" collapsed="false">
      <c r="A6" s="17" t="s">
        <v>21</v>
      </c>
      <c r="B6" s="17" t="s">
        <v>22</v>
      </c>
      <c r="C6" s="17" t="s">
        <v>23</v>
      </c>
      <c r="D6" s="17" t="s">
        <v>24</v>
      </c>
      <c r="E6" s="17" t="s">
        <v>25</v>
      </c>
      <c r="F6" s="18" t="s">
        <v>26</v>
      </c>
      <c r="G6" s="19" t="s">
        <v>27</v>
      </c>
      <c r="H6" s="19" t="s">
        <v>28</v>
      </c>
      <c r="I6" s="2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customFormat="false" ht="15.75" hidden="false" customHeight="false" outlineLevel="0" collapsed="false">
      <c r="A7" s="20" t="s">
        <v>29</v>
      </c>
      <c r="B7" s="20" t="s">
        <v>30</v>
      </c>
      <c r="C7" s="20" t="n">
        <v>1143410503</v>
      </c>
      <c r="D7" s="20" t="s">
        <v>31</v>
      </c>
      <c r="E7" s="21" t="n">
        <v>3114500743</v>
      </c>
      <c r="F7" s="22" t="s">
        <v>32</v>
      </c>
      <c r="G7" s="22" t="s">
        <v>32</v>
      </c>
      <c r="H7" s="23"/>
      <c r="I7" s="2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customFormat="false" ht="15.75" hidden="false" customHeight="false" outlineLevel="0" collapsed="false">
      <c r="A8" s="24"/>
      <c r="B8" s="24"/>
      <c r="C8" s="24"/>
      <c r="D8" s="24"/>
      <c r="E8" s="25"/>
      <c r="F8" s="26"/>
      <c r="G8" s="27" t="n">
        <v>1640000</v>
      </c>
      <c r="H8" s="28"/>
      <c r="I8" s="2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customFormat="false" ht="15.75" hidden="false" customHeight="false" outlineLevel="0" collapsed="false">
      <c r="A9" s="29" t="s">
        <v>33</v>
      </c>
      <c r="B9" s="29"/>
      <c r="C9" s="30" t="s">
        <v>34</v>
      </c>
      <c r="D9" s="30"/>
      <c r="E9" s="31" t="s">
        <v>35</v>
      </c>
      <c r="F9" s="31"/>
      <c r="G9" s="32" t="s">
        <v>36</v>
      </c>
      <c r="H9" s="33" t="s">
        <v>16</v>
      </c>
      <c r="I9" s="2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customFormat="false" ht="15.75" hidden="false" customHeight="false" outlineLevel="0" collapsed="false">
      <c r="A10" s="34" t="n">
        <f aca="false">H16+H25+H34</f>
        <v>1105700</v>
      </c>
      <c r="B10" s="34"/>
      <c r="C10" s="35" t="n">
        <f aca="false">C5-A10</f>
        <v>20314300</v>
      </c>
      <c r="D10" s="35"/>
      <c r="E10" s="36" t="n">
        <f aca="false">C10+G10</f>
        <v>20314300</v>
      </c>
      <c r="F10" s="36"/>
      <c r="G10" s="37"/>
      <c r="H10" s="33"/>
      <c r="I10" s="2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customFormat="false" ht="15.75" hidden="false" customHeight="false" outlineLevel="0" collapsed="false">
      <c r="A11" s="34"/>
      <c r="B11" s="34"/>
      <c r="C11" s="35"/>
      <c r="D11" s="35"/>
      <c r="E11" s="36"/>
      <c r="F11" s="36"/>
      <c r="G11" s="37"/>
      <c r="H11" s="38" t="n">
        <f aca="false">I21+I30+I39</f>
        <v>2</v>
      </c>
      <c r="I11" s="2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customFormat="false" ht="27.75" hidden="false" customHeight="true" outlineLevel="0" collapsed="false">
      <c r="A12" s="39" t="s">
        <v>37</v>
      </c>
      <c r="B12" s="39"/>
      <c r="C12" s="39"/>
      <c r="D12" s="39"/>
      <c r="E12" s="40"/>
      <c r="F12" s="41"/>
      <c r="G12" s="41"/>
      <c r="H12" s="38"/>
      <c r="I12" s="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customFormat="false" ht="21.75" hidden="false" customHeight="true" outlineLevel="0" collapsed="false">
      <c r="A13" s="9"/>
      <c r="B13" s="9"/>
      <c r="C13" s="9"/>
      <c r="D13" s="9"/>
      <c r="E13" s="9"/>
      <c r="F13" s="9"/>
      <c r="G13" s="9"/>
      <c r="H13" s="9"/>
      <c r="I13" s="9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customFormat="false" ht="12.75" hidden="false" customHeight="true" outlineLevel="0" collapsed="false">
      <c r="A14" s="9"/>
      <c r="B14" s="9"/>
      <c r="C14" s="9"/>
      <c r="D14" s="9"/>
      <c r="E14" s="9"/>
      <c r="F14" s="9"/>
      <c r="G14" s="9"/>
      <c r="H14" s="9"/>
      <c r="I14" s="9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customFormat="false" ht="13.8" hidden="false" customHeight="false" outlineLevel="0" collapsed="false">
      <c r="A15" s="42" t="s">
        <v>38</v>
      </c>
      <c r="B15" s="42" t="s">
        <v>38</v>
      </c>
      <c r="C15" s="42" t="s">
        <v>39</v>
      </c>
      <c r="D15" s="42" t="s">
        <v>38</v>
      </c>
      <c r="E15" s="42" t="s">
        <v>38</v>
      </c>
      <c r="F15" s="42" t="s">
        <v>39</v>
      </c>
      <c r="G15" s="42" t="s">
        <v>38</v>
      </c>
      <c r="H15" s="42"/>
      <c r="I15" s="4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customFormat="false" ht="13.8" hidden="false" customHeight="false" outlineLevel="0" collapsed="false">
      <c r="A16" s="44" t="n">
        <v>46107</v>
      </c>
      <c r="B16" s="44" t="n">
        <v>46111</v>
      </c>
      <c r="C16" s="45" t="n">
        <v>178200</v>
      </c>
      <c r="D16" s="44" t="n">
        <v>46118</v>
      </c>
      <c r="E16" s="44" t="n">
        <v>46125</v>
      </c>
      <c r="F16" s="45" t="n">
        <v>297500</v>
      </c>
      <c r="G16" s="46"/>
      <c r="H16" s="47" t="n">
        <f aca="false">C22+F22</f>
        <v>475700</v>
      </c>
      <c r="I16" s="48" t="n">
        <v>1</v>
      </c>
      <c r="J16" s="49"/>
      <c r="K16" s="49"/>
      <c r="L16" s="49"/>
      <c r="M16" s="49"/>
      <c r="N16" s="49"/>
      <c r="O16" s="49"/>
      <c r="P16" s="49"/>
      <c r="Q16" s="49"/>
      <c r="R16" s="49"/>
      <c r="S16" s="3"/>
      <c r="T16" s="3"/>
      <c r="U16" s="3"/>
      <c r="V16" s="3"/>
      <c r="W16" s="3"/>
      <c r="X16" s="3"/>
      <c r="Y16" s="3"/>
      <c r="Z16" s="3"/>
    </row>
    <row r="17" customFormat="false" ht="13.8" hidden="false" customHeight="false" outlineLevel="0" collapsed="false">
      <c r="A17" s="44" t="n">
        <v>46107</v>
      </c>
      <c r="B17" s="44" t="n">
        <v>46112</v>
      </c>
      <c r="C17" s="45"/>
      <c r="D17" s="44" t="n">
        <v>46119</v>
      </c>
      <c r="E17" s="44" t="n">
        <v>46126</v>
      </c>
      <c r="F17" s="45"/>
      <c r="G17" s="46"/>
      <c r="H17" s="47"/>
      <c r="I17" s="47"/>
      <c r="J17" s="49"/>
      <c r="K17" s="49"/>
      <c r="L17" s="49"/>
      <c r="M17" s="49"/>
      <c r="N17" s="49"/>
      <c r="O17" s="49"/>
      <c r="P17" s="49"/>
      <c r="Q17" s="49"/>
      <c r="R17" s="49"/>
      <c r="S17" s="3"/>
      <c r="T17" s="3"/>
      <c r="U17" s="3"/>
      <c r="V17" s="3"/>
      <c r="W17" s="3"/>
      <c r="X17" s="3"/>
      <c r="Y17" s="3"/>
      <c r="Z17" s="3"/>
    </row>
    <row r="18" customFormat="false" ht="13.8" hidden="false" customHeight="false" outlineLevel="0" collapsed="false">
      <c r="A18" s="44" t="n">
        <v>46107</v>
      </c>
      <c r="B18" s="44" t="n">
        <v>46113</v>
      </c>
      <c r="C18" s="45"/>
      <c r="D18" s="44" t="n">
        <v>46120</v>
      </c>
      <c r="E18" s="44" t="n">
        <v>46127</v>
      </c>
      <c r="F18" s="45"/>
      <c r="G18" s="46"/>
      <c r="H18" s="47"/>
      <c r="I18" s="47"/>
      <c r="J18" s="49"/>
      <c r="K18" s="49"/>
      <c r="L18" s="49"/>
      <c r="M18" s="49"/>
      <c r="N18" s="49"/>
      <c r="O18" s="49"/>
      <c r="P18" s="49"/>
      <c r="Q18" s="49"/>
      <c r="R18" s="49"/>
      <c r="S18" s="3"/>
      <c r="T18" s="3"/>
      <c r="U18" s="3"/>
      <c r="V18" s="3"/>
      <c r="W18" s="3"/>
      <c r="X18" s="3"/>
      <c r="Y18" s="3"/>
      <c r="Z18" s="3"/>
    </row>
    <row r="19" customFormat="false" ht="15.75" hidden="false" customHeight="false" outlineLevel="0" collapsed="false">
      <c r="A19" s="44" t="n">
        <v>46107</v>
      </c>
      <c r="B19" s="44" t="n">
        <v>46114</v>
      </c>
      <c r="C19" s="45"/>
      <c r="D19" s="44" t="n">
        <v>46121</v>
      </c>
      <c r="E19" s="44" t="n">
        <v>46128</v>
      </c>
      <c r="F19" s="45"/>
      <c r="G19" s="46"/>
      <c r="H19" s="47"/>
      <c r="I19" s="47"/>
      <c r="J19" s="49"/>
      <c r="K19" s="49"/>
      <c r="L19" s="49"/>
      <c r="M19" s="49"/>
      <c r="N19" s="49"/>
      <c r="O19" s="49"/>
      <c r="P19" s="49"/>
      <c r="Q19" s="49"/>
      <c r="R19" s="49"/>
      <c r="S19" s="3"/>
      <c r="T19" s="3"/>
      <c r="U19" s="3"/>
      <c r="V19" s="3"/>
      <c r="W19" s="3"/>
      <c r="X19" s="3"/>
      <c r="Y19" s="3"/>
      <c r="Z19" s="3"/>
    </row>
    <row r="20" customFormat="false" ht="15.75" hidden="false" customHeight="false" outlineLevel="0" collapsed="false">
      <c r="A20" s="44" t="n">
        <v>46108</v>
      </c>
      <c r="B20" s="44" t="n">
        <v>46115</v>
      </c>
      <c r="C20" s="45"/>
      <c r="D20" s="44" t="n">
        <v>46122</v>
      </c>
      <c r="E20" s="44" t="n">
        <v>46129</v>
      </c>
      <c r="F20" s="45"/>
      <c r="G20" s="46"/>
      <c r="H20" s="47"/>
      <c r="I20" s="47"/>
      <c r="J20" s="49"/>
      <c r="K20" s="49"/>
      <c r="L20" s="49"/>
      <c r="M20" s="49"/>
      <c r="N20" s="49"/>
      <c r="O20" s="49"/>
      <c r="P20" s="49"/>
      <c r="Q20" s="49"/>
      <c r="R20" s="49"/>
      <c r="S20" s="3"/>
      <c r="T20" s="3"/>
      <c r="U20" s="3"/>
      <c r="V20" s="3"/>
      <c r="W20" s="3"/>
      <c r="X20" s="3"/>
      <c r="Y20" s="3"/>
      <c r="Z20" s="3"/>
    </row>
    <row r="21" customFormat="false" ht="15.75" hidden="false" customHeight="false" outlineLevel="0" collapsed="false">
      <c r="A21" s="44" t="n">
        <v>46109</v>
      </c>
      <c r="B21" s="44" t="n">
        <v>46116</v>
      </c>
      <c r="C21" s="45"/>
      <c r="D21" s="44" t="n">
        <v>46123</v>
      </c>
      <c r="E21" s="44" t="n">
        <v>46130</v>
      </c>
      <c r="F21" s="45"/>
      <c r="G21" s="50"/>
      <c r="H21" s="47"/>
      <c r="I21" s="51" t="n">
        <v>1</v>
      </c>
      <c r="J21" s="49"/>
      <c r="K21" s="49"/>
      <c r="L21" s="49"/>
      <c r="M21" s="49"/>
      <c r="N21" s="49"/>
      <c r="O21" s="49"/>
      <c r="P21" s="49"/>
      <c r="Q21" s="49"/>
      <c r="R21" s="49"/>
      <c r="S21" s="3"/>
      <c r="T21" s="3"/>
      <c r="U21" s="3"/>
      <c r="V21" s="3"/>
      <c r="W21" s="3"/>
      <c r="X21" s="3"/>
      <c r="Y21" s="3"/>
      <c r="Z21" s="3"/>
    </row>
    <row r="22" customFormat="false" ht="15.75" hidden="false" customHeight="false" outlineLevel="0" collapsed="false">
      <c r="A22" s="52"/>
      <c r="B22" s="53"/>
      <c r="C22" s="54" t="n">
        <f aca="false">SUM(C16:C21)</f>
        <v>178200</v>
      </c>
      <c r="D22" s="55"/>
      <c r="E22" s="55"/>
      <c r="F22" s="56" t="n">
        <f aca="false">SUM(F16:F21)</f>
        <v>297500</v>
      </c>
      <c r="G22" s="52"/>
      <c r="H22" s="55"/>
      <c r="I22" s="52"/>
      <c r="J22" s="49"/>
      <c r="K22" s="49"/>
      <c r="L22" s="49"/>
      <c r="M22" s="49"/>
      <c r="N22" s="49"/>
      <c r="O22" s="49"/>
      <c r="P22" s="49"/>
      <c r="Q22" s="49"/>
      <c r="R22" s="49"/>
      <c r="S22" s="3"/>
      <c r="T22" s="3"/>
      <c r="U22" s="3"/>
      <c r="V22" s="3"/>
      <c r="W22" s="3"/>
      <c r="X22" s="3"/>
      <c r="Y22" s="3"/>
      <c r="Z22" s="3"/>
    </row>
    <row r="23" customFormat="false" ht="15.75" hidden="false" customHeight="false" outlineLevel="0" collapsed="false">
      <c r="A23" s="57"/>
      <c r="B23" s="57"/>
      <c r="C23" s="57"/>
      <c r="D23" s="57"/>
      <c r="E23" s="57"/>
      <c r="F23" s="57"/>
      <c r="G23" s="57"/>
      <c r="H23" s="57"/>
      <c r="I23" s="57"/>
      <c r="J23" s="49"/>
      <c r="K23" s="49"/>
      <c r="L23" s="49"/>
      <c r="M23" s="49"/>
      <c r="N23" s="49"/>
      <c r="O23" s="49"/>
      <c r="P23" s="49"/>
      <c r="Q23" s="49"/>
      <c r="R23" s="49"/>
      <c r="S23" s="3"/>
      <c r="T23" s="3"/>
      <c r="U23" s="3"/>
      <c r="V23" s="3"/>
      <c r="W23" s="3"/>
      <c r="X23" s="3"/>
      <c r="Y23" s="3"/>
      <c r="Z23" s="3"/>
    </row>
    <row r="24" customFormat="false" ht="13.8" hidden="false" customHeight="false" outlineLevel="0" collapsed="false">
      <c r="A24" s="42" t="s">
        <v>38</v>
      </c>
      <c r="B24" s="42" t="s">
        <v>38</v>
      </c>
      <c r="C24" s="42" t="s">
        <v>39</v>
      </c>
      <c r="D24" s="42" t="s">
        <v>38</v>
      </c>
      <c r="E24" s="42" t="s">
        <v>38</v>
      </c>
      <c r="F24" s="42" t="s">
        <v>39</v>
      </c>
      <c r="G24" s="42" t="s">
        <v>38</v>
      </c>
      <c r="H24" s="42"/>
      <c r="I24" s="4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customFormat="false" ht="15.75" hidden="false" customHeight="false" outlineLevel="0" collapsed="false">
      <c r="A25" s="44" t="n">
        <v>46132</v>
      </c>
      <c r="B25" s="44" t="n">
        <v>46139</v>
      </c>
      <c r="C25" s="45" t="n">
        <v>332000</v>
      </c>
      <c r="D25" s="44" t="n">
        <v>46146</v>
      </c>
      <c r="E25" s="44" t="n">
        <v>46153</v>
      </c>
      <c r="F25" s="45" t="n">
        <v>298000</v>
      </c>
      <c r="G25" s="46"/>
      <c r="H25" s="47" t="n">
        <f aca="false">C31+F31</f>
        <v>630000</v>
      </c>
      <c r="I25" s="48" t="n">
        <v>2</v>
      </c>
      <c r="J25" s="49"/>
      <c r="K25" s="49"/>
      <c r="L25" s="49"/>
      <c r="M25" s="49"/>
      <c r="N25" s="49"/>
      <c r="O25" s="49"/>
      <c r="P25" s="49"/>
      <c r="Q25" s="49"/>
      <c r="R25" s="49"/>
      <c r="S25" s="3"/>
      <c r="T25" s="3"/>
      <c r="U25" s="3"/>
      <c r="V25" s="3"/>
      <c r="W25" s="3"/>
      <c r="X25" s="3"/>
      <c r="Y25" s="3"/>
      <c r="Z25" s="3"/>
    </row>
    <row r="26" customFormat="false" ht="15.75" hidden="false" customHeight="false" outlineLevel="0" collapsed="false">
      <c r="A26" s="44" t="n">
        <v>46133</v>
      </c>
      <c r="B26" s="44" t="n">
        <v>46140</v>
      </c>
      <c r="C26" s="45"/>
      <c r="D26" s="44" t="n">
        <v>46147</v>
      </c>
      <c r="E26" s="44" t="n">
        <v>46154</v>
      </c>
      <c r="F26" s="45"/>
      <c r="G26" s="46"/>
      <c r="H26" s="47"/>
      <c r="I26" s="47"/>
      <c r="J26" s="49"/>
      <c r="K26" s="49"/>
      <c r="L26" s="49"/>
      <c r="M26" s="49"/>
      <c r="N26" s="49"/>
      <c r="O26" s="49"/>
      <c r="P26" s="49"/>
      <c r="Q26" s="49"/>
      <c r="R26" s="49"/>
      <c r="S26" s="3"/>
      <c r="T26" s="3"/>
      <c r="U26" s="3"/>
      <c r="V26" s="3"/>
      <c r="W26" s="3"/>
      <c r="X26" s="3"/>
      <c r="Y26" s="3"/>
      <c r="Z26" s="3"/>
    </row>
    <row r="27" customFormat="false" ht="15.75" hidden="false" customHeight="false" outlineLevel="0" collapsed="false">
      <c r="A27" s="44" t="n">
        <v>46134</v>
      </c>
      <c r="B27" s="44" t="n">
        <v>46141</v>
      </c>
      <c r="C27" s="45"/>
      <c r="D27" s="44" t="n">
        <v>46148</v>
      </c>
      <c r="E27" s="44" t="n">
        <v>46155</v>
      </c>
      <c r="F27" s="45"/>
      <c r="G27" s="46"/>
      <c r="H27" s="47"/>
      <c r="I27" s="47"/>
      <c r="J27" s="49"/>
      <c r="K27" s="49"/>
      <c r="L27" s="49"/>
      <c r="M27" s="49"/>
      <c r="N27" s="49"/>
      <c r="O27" s="49"/>
      <c r="P27" s="49"/>
      <c r="Q27" s="49"/>
      <c r="R27" s="49"/>
      <c r="S27" s="3"/>
      <c r="T27" s="3"/>
      <c r="U27" s="3"/>
      <c r="V27" s="3"/>
      <c r="W27" s="3"/>
      <c r="X27" s="3"/>
      <c r="Y27" s="3"/>
      <c r="Z27" s="3"/>
    </row>
    <row r="28" customFormat="false" ht="15.75" hidden="false" customHeight="false" outlineLevel="0" collapsed="false">
      <c r="A28" s="44" t="n">
        <v>46135</v>
      </c>
      <c r="B28" s="44" t="n">
        <v>46142</v>
      </c>
      <c r="C28" s="45"/>
      <c r="D28" s="44" t="n">
        <v>46149</v>
      </c>
      <c r="E28" s="44" t="n">
        <v>46156</v>
      </c>
      <c r="F28" s="45"/>
      <c r="G28" s="46"/>
      <c r="H28" s="47"/>
      <c r="I28" s="47"/>
      <c r="J28" s="49"/>
      <c r="K28" s="49"/>
      <c r="L28" s="49"/>
      <c r="M28" s="49"/>
      <c r="N28" s="49"/>
      <c r="O28" s="49"/>
      <c r="P28" s="49"/>
      <c r="Q28" s="49"/>
      <c r="R28" s="49"/>
      <c r="S28" s="3"/>
      <c r="T28" s="3"/>
      <c r="U28" s="3"/>
      <c r="V28" s="3"/>
      <c r="W28" s="3"/>
      <c r="X28" s="3"/>
      <c r="Y28" s="3"/>
      <c r="Z28" s="3"/>
    </row>
    <row r="29" customFormat="false" ht="15.75" hidden="false" customHeight="false" outlineLevel="0" collapsed="false">
      <c r="A29" s="44" t="n">
        <v>46136</v>
      </c>
      <c r="B29" s="44" t="n">
        <v>46143</v>
      </c>
      <c r="C29" s="45"/>
      <c r="D29" s="44" t="n">
        <v>46150</v>
      </c>
      <c r="E29" s="44" t="n">
        <v>46157</v>
      </c>
      <c r="F29" s="45"/>
      <c r="G29" s="46"/>
      <c r="H29" s="47"/>
      <c r="I29" s="47"/>
      <c r="J29" s="49"/>
      <c r="K29" s="49"/>
      <c r="L29" s="49"/>
      <c r="M29" s="49"/>
      <c r="N29" s="49"/>
      <c r="O29" s="49"/>
      <c r="P29" s="49"/>
      <c r="Q29" s="49"/>
      <c r="R29" s="49"/>
      <c r="S29" s="3"/>
      <c r="T29" s="3"/>
      <c r="U29" s="3"/>
      <c r="V29" s="3"/>
      <c r="W29" s="3"/>
      <c r="X29" s="3"/>
      <c r="Y29" s="3"/>
      <c r="Z29" s="3"/>
    </row>
    <row r="30" customFormat="false" ht="15.75" hidden="false" customHeight="false" outlineLevel="0" collapsed="false">
      <c r="A30" s="44" t="n">
        <v>46137</v>
      </c>
      <c r="B30" s="44" t="n">
        <v>46144</v>
      </c>
      <c r="C30" s="45"/>
      <c r="D30" s="44" t="n">
        <v>46151</v>
      </c>
      <c r="E30" s="44" t="n">
        <v>46158</v>
      </c>
      <c r="F30" s="45"/>
      <c r="G30" s="50"/>
      <c r="H30" s="47"/>
      <c r="I30" s="51" t="n">
        <v>1</v>
      </c>
      <c r="J30" s="49"/>
      <c r="K30" s="49"/>
      <c r="L30" s="49"/>
      <c r="M30" s="49"/>
      <c r="N30" s="49"/>
      <c r="O30" s="49"/>
      <c r="P30" s="49"/>
      <c r="Q30" s="49"/>
      <c r="R30" s="49"/>
      <c r="S30" s="3"/>
      <c r="T30" s="3"/>
      <c r="U30" s="3"/>
      <c r="V30" s="3"/>
      <c r="W30" s="3"/>
      <c r="X30" s="3"/>
      <c r="Y30" s="3"/>
      <c r="Z30" s="3"/>
    </row>
    <row r="31" customFormat="false" ht="15.75" hidden="false" customHeight="false" outlineLevel="0" collapsed="false">
      <c r="A31" s="52"/>
      <c r="B31" s="53"/>
      <c r="C31" s="54" t="n">
        <f aca="false">SUM(C25:C30)</f>
        <v>332000</v>
      </c>
      <c r="D31" s="55"/>
      <c r="E31" s="55"/>
      <c r="F31" s="56" t="n">
        <f aca="false">SUM(F25:F30)</f>
        <v>298000</v>
      </c>
      <c r="G31" s="52"/>
      <c r="H31" s="55"/>
      <c r="I31" s="52"/>
      <c r="J31" s="49"/>
      <c r="K31" s="49"/>
      <c r="L31" s="49"/>
      <c r="M31" s="49"/>
      <c r="N31" s="49"/>
      <c r="O31" s="49"/>
      <c r="P31" s="49"/>
      <c r="Q31" s="49"/>
      <c r="R31" s="49"/>
      <c r="S31" s="3"/>
      <c r="T31" s="3"/>
      <c r="U31" s="3"/>
      <c r="V31" s="3"/>
      <c r="W31" s="3"/>
      <c r="X31" s="3"/>
      <c r="Y31" s="3"/>
      <c r="Z31" s="3"/>
    </row>
    <row r="32" customFormat="false" ht="15.75" hidden="false" customHeight="false" outlineLevel="0" collapsed="false">
      <c r="A32" s="57"/>
      <c r="B32" s="57"/>
      <c r="C32" s="57"/>
      <c r="D32" s="57"/>
      <c r="E32" s="57"/>
      <c r="F32" s="57"/>
      <c r="G32" s="57"/>
      <c r="H32" s="57"/>
      <c r="I32" s="57"/>
      <c r="J32" s="49"/>
      <c r="K32" s="49"/>
      <c r="L32" s="49"/>
      <c r="M32" s="49"/>
      <c r="N32" s="49"/>
      <c r="O32" s="49"/>
      <c r="P32" s="49"/>
      <c r="Q32" s="49"/>
      <c r="R32" s="49"/>
      <c r="S32" s="3"/>
      <c r="T32" s="3"/>
      <c r="U32" s="3"/>
      <c r="V32" s="3"/>
      <c r="W32" s="3"/>
      <c r="X32" s="3"/>
      <c r="Y32" s="3"/>
      <c r="Z32" s="3"/>
    </row>
    <row r="33" customFormat="false" ht="13.8" hidden="false" customHeight="false" outlineLevel="0" collapsed="false">
      <c r="A33" s="42" t="s">
        <v>38</v>
      </c>
      <c r="B33" s="42" t="s">
        <v>39</v>
      </c>
      <c r="C33" s="42" t="s">
        <v>38</v>
      </c>
      <c r="D33" s="42" t="s">
        <v>38</v>
      </c>
      <c r="E33" s="42" t="s">
        <v>38</v>
      </c>
      <c r="F33" s="42" t="s">
        <v>39</v>
      </c>
      <c r="G33" s="42" t="s">
        <v>38</v>
      </c>
      <c r="H33" s="42"/>
      <c r="I33" s="4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customFormat="false" ht="15.75" hidden="false" customHeight="false" outlineLevel="0" collapsed="false">
      <c r="A34" s="44" t="n">
        <v>46160</v>
      </c>
      <c r="B34" s="44" t="n">
        <v>46167</v>
      </c>
      <c r="C34" s="45"/>
      <c r="D34" s="44" t="n">
        <v>46174</v>
      </c>
      <c r="E34" s="44" t="n">
        <v>46181</v>
      </c>
      <c r="F34" s="45"/>
      <c r="G34" s="46"/>
      <c r="H34" s="47" t="n">
        <f aca="false">C40+F40</f>
        <v>0</v>
      </c>
      <c r="I34" s="48" t="n">
        <v>3</v>
      </c>
      <c r="J34" s="49"/>
      <c r="K34" s="49"/>
      <c r="L34" s="49"/>
      <c r="M34" s="49"/>
      <c r="N34" s="49"/>
      <c r="O34" s="49"/>
      <c r="P34" s="49"/>
      <c r="Q34" s="49"/>
      <c r="R34" s="49"/>
      <c r="S34" s="3"/>
      <c r="T34" s="3"/>
      <c r="U34" s="3"/>
      <c r="V34" s="3"/>
      <c r="W34" s="3"/>
      <c r="X34" s="3"/>
      <c r="Y34" s="3"/>
      <c r="Z34" s="3"/>
    </row>
    <row r="35" customFormat="false" ht="15.75" hidden="false" customHeight="false" outlineLevel="0" collapsed="false">
      <c r="A35" s="44" t="n">
        <v>46161</v>
      </c>
      <c r="B35" s="44" t="n">
        <v>46168</v>
      </c>
      <c r="C35" s="45"/>
      <c r="D35" s="44" t="n">
        <v>46175</v>
      </c>
      <c r="E35" s="44" t="n">
        <v>46182</v>
      </c>
      <c r="F35" s="45"/>
      <c r="G35" s="46"/>
      <c r="H35" s="47"/>
      <c r="I35" s="47"/>
      <c r="J35" s="49"/>
      <c r="K35" s="49"/>
      <c r="L35" s="49"/>
      <c r="M35" s="49"/>
      <c r="N35" s="49"/>
      <c r="O35" s="49"/>
      <c r="P35" s="49"/>
      <c r="Q35" s="49"/>
      <c r="R35" s="49"/>
      <c r="S35" s="3"/>
      <c r="T35" s="3"/>
      <c r="U35" s="3"/>
      <c r="V35" s="3"/>
      <c r="W35" s="3"/>
      <c r="X35" s="3"/>
      <c r="Y35" s="3"/>
      <c r="Z35" s="3"/>
    </row>
    <row r="36" customFormat="false" ht="15.75" hidden="false" customHeight="false" outlineLevel="0" collapsed="false">
      <c r="A36" s="44" t="n">
        <v>46162</v>
      </c>
      <c r="B36" s="44" t="n">
        <v>46169</v>
      </c>
      <c r="C36" s="45"/>
      <c r="D36" s="44" t="n">
        <v>46176</v>
      </c>
      <c r="E36" s="44" t="n">
        <v>46183</v>
      </c>
      <c r="F36" s="45"/>
      <c r="G36" s="46"/>
      <c r="H36" s="47"/>
      <c r="I36" s="47"/>
      <c r="J36" s="49"/>
      <c r="K36" s="49"/>
      <c r="L36" s="49"/>
      <c r="M36" s="49"/>
      <c r="N36" s="49"/>
      <c r="O36" s="49"/>
      <c r="P36" s="49"/>
      <c r="Q36" s="49"/>
      <c r="R36" s="49"/>
      <c r="S36" s="3"/>
      <c r="T36" s="3"/>
      <c r="U36" s="3"/>
      <c r="V36" s="3"/>
      <c r="W36" s="3"/>
      <c r="X36" s="3"/>
      <c r="Y36" s="3"/>
      <c r="Z36" s="3"/>
    </row>
    <row r="37" customFormat="false" ht="15.75" hidden="false" customHeight="false" outlineLevel="0" collapsed="false">
      <c r="A37" s="44" t="n">
        <v>46163</v>
      </c>
      <c r="B37" s="44" t="n">
        <v>46170</v>
      </c>
      <c r="C37" s="45"/>
      <c r="D37" s="44" t="n">
        <v>46177</v>
      </c>
      <c r="E37" s="44" t="n">
        <v>46184</v>
      </c>
      <c r="F37" s="45"/>
      <c r="G37" s="46"/>
      <c r="H37" s="47"/>
      <c r="I37" s="47"/>
      <c r="J37" s="49"/>
      <c r="K37" s="49"/>
      <c r="L37" s="49"/>
      <c r="M37" s="49"/>
      <c r="N37" s="49"/>
      <c r="O37" s="49"/>
      <c r="P37" s="49"/>
      <c r="Q37" s="49"/>
      <c r="R37" s="49"/>
      <c r="S37" s="3"/>
      <c r="T37" s="3"/>
      <c r="U37" s="3"/>
      <c r="V37" s="3"/>
      <c r="W37" s="3"/>
      <c r="X37" s="3"/>
      <c r="Y37" s="3"/>
      <c r="Z37" s="3"/>
    </row>
    <row r="38" customFormat="false" ht="15.75" hidden="false" customHeight="false" outlineLevel="0" collapsed="false">
      <c r="A38" s="44" t="n">
        <v>46164</v>
      </c>
      <c r="B38" s="44" t="n">
        <v>46171</v>
      </c>
      <c r="C38" s="45"/>
      <c r="D38" s="44" t="n">
        <v>46178</v>
      </c>
      <c r="E38" s="44" t="n">
        <v>46185</v>
      </c>
      <c r="F38" s="45"/>
      <c r="G38" s="46"/>
      <c r="H38" s="47"/>
      <c r="I38" s="47"/>
      <c r="J38" s="49"/>
      <c r="K38" s="49"/>
      <c r="L38" s="49"/>
      <c r="M38" s="49"/>
      <c r="N38" s="49"/>
      <c r="O38" s="49"/>
      <c r="P38" s="49"/>
      <c r="Q38" s="49"/>
      <c r="R38" s="49"/>
      <c r="S38" s="3"/>
      <c r="T38" s="3"/>
      <c r="U38" s="3"/>
      <c r="V38" s="3"/>
      <c r="W38" s="3"/>
      <c r="X38" s="3"/>
      <c r="Y38" s="3"/>
      <c r="Z38" s="3"/>
    </row>
    <row r="39" customFormat="false" ht="15.75" hidden="false" customHeight="false" outlineLevel="0" collapsed="false">
      <c r="A39" s="44" t="n">
        <v>46165</v>
      </c>
      <c r="B39" s="44" t="n">
        <v>46172</v>
      </c>
      <c r="C39" s="45"/>
      <c r="D39" s="44" t="n">
        <v>46179</v>
      </c>
      <c r="E39" s="44" t="n">
        <v>46186</v>
      </c>
      <c r="F39" s="45"/>
      <c r="G39" s="50"/>
      <c r="H39" s="47"/>
      <c r="I39" s="51"/>
      <c r="J39" s="49"/>
      <c r="K39" s="49"/>
      <c r="L39" s="49"/>
      <c r="M39" s="49"/>
      <c r="N39" s="49"/>
      <c r="O39" s="49"/>
      <c r="P39" s="49"/>
      <c r="Q39" s="49"/>
      <c r="R39" s="49"/>
      <c r="S39" s="3"/>
      <c r="T39" s="3"/>
      <c r="U39" s="3"/>
      <c r="V39" s="3"/>
      <c r="W39" s="3"/>
      <c r="X39" s="3"/>
      <c r="Y39" s="3"/>
      <c r="Z39" s="3"/>
    </row>
    <row r="40" customFormat="false" ht="15.75" hidden="false" customHeight="false" outlineLevel="0" collapsed="false">
      <c r="A40" s="52"/>
      <c r="B40" s="53"/>
      <c r="C40" s="54" t="n">
        <f aca="false">SUM(C34:C39)</f>
        <v>0</v>
      </c>
      <c r="D40" s="55"/>
      <c r="E40" s="55"/>
      <c r="F40" s="56" t="n">
        <f aca="false">SUM(F34:F39)</f>
        <v>0</v>
      </c>
      <c r="G40" s="52"/>
      <c r="H40" s="55"/>
      <c r="I40" s="52"/>
      <c r="J40" s="49"/>
      <c r="K40" s="49"/>
      <c r="L40" s="49"/>
      <c r="M40" s="49"/>
      <c r="N40" s="49"/>
      <c r="O40" s="49"/>
      <c r="P40" s="49"/>
      <c r="Q40" s="49"/>
      <c r="R40" s="49"/>
      <c r="S40" s="3"/>
      <c r="T40" s="3"/>
      <c r="U40" s="3"/>
      <c r="V40" s="3"/>
      <c r="W40" s="3"/>
      <c r="X40" s="3"/>
      <c r="Y40" s="3"/>
      <c r="Z40" s="3"/>
    </row>
    <row r="41" customFormat="false" ht="15.75" hidden="false" customHeight="false" outlineLevel="0" collapsed="false">
      <c r="A41" s="57"/>
      <c r="B41" s="57"/>
      <c r="C41" s="57"/>
      <c r="D41" s="57"/>
      <c r="E41" s="57"/>
      <c r="F41" s="57"/>
      <c r="G41" s="57"/>
      <c r="H41" s="57"/>
      <c r="I41" s="57"/>
      <c r="J41" s="49"/>
      <c r="K41" s="49"/>
      <c r="L41" s="49"/>
      <c r="M41" s="49"/>
      <c r="N41" s="49"/>
      <c r="O41" s="49"/>
      <c r="P41" s="49"/>
      <c r="Q41" s="49"/>
      <c r="R41" s="49"/>
      <c r="S41" s="3"/>
      <c r="T41" s="3"/>
      <c r="U41" s="3"/>
      <c r="V41" s="3"/>
      <c r="W41" s="3"/>
      <c r="X41" s="3"/>
      <c r="Y41" s="3"/>
      <c r="Z41" s="3"/>
    </row>
  </sheetData>
  <mergeCells count="26">
    <mergeCell ref="I1:I12"/>
    <mergeCell ref="A9:B9"/>
    <mergeCell ref="C9:D9"/>
    <mergeCell ref="E9:F9"/>
    <mergeCell ref="H9:H10"/>
    <mergeCell ref="A10:B11"/>
    <mergeCell ref="C10:D11"/>
    <mergeCell ref="E10:F11"/>
    <mergeCell ref="G10:G11"/>
    <mergeCell ref="H11:H12"/>
    <mergeCell ref="A12:D12"/>
    <mergeCell ref="C16:C21"/>
    <mergeCell ref="F16:F21"/>
    <mergeCell ref="H16:H21"/>
    <mergeCell ref="I16:I20"/>
    <mergeCell ref="A23:I23"/>
    <mergeCell ref="C25:C30"/>
    <mergeCell ref="F25:F30"/>
    <mergeCell ref="H25:H30"/>
    <mergeCell ref="I25:I29"/>
    <mergeCell ref="A32:I32"/>
    <mergeCell ref="C34:C39"/>
    <mergeCell ref="F34:F39"/>
    <mergeCell ref="H34:H39"/>
    <mergeCell ref="I34:I38"/>
    <mergeCell ref="A41:I41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es-US</dc:language>
  <cp:lastModifiedBy/>
  <dcterms:modified xsi:type="dcterms:W3CDTF">2026-06-05T19:15:35Z</dcterms:modified>
  <cp:revision>1</cp:revision>
  <dc:subject/>
  <dc:title/>
</cp:coreProperties>
</file>