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MOVIL 31" sheetId="2" r:id="rId6"/>
    <sheet state="visible" name="DATA" sheetId="3" r:id="rId7"/>
    <sheet state="visible" name="COTIZACIO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Add any tags in this column to help you quickly identify different entries
</t>
      </text>
    </comment>
  </commentList>
</comments>
</file>

<file path=xl/sharedStrings.xml><?xml version="1.0" encoding="utf-8"?>
<sst xmlns="http://schemas.openxmlformats.org/spreadsheetml/2006/main" count="252" uniqueCount="96">
  <si>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</si>
  <si>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</si>
  <si>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</si>
  <si>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</si>
  <si>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</si>
  <si>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</si>
  <si>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</si>
  <si>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</si>
  <si>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</si>
  <si>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PULSAR N160</t>
  </si>
  <si>
    <t>BAJAJ</t>
  </si>
  <si>
    <t>RLI49H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</si>
  <si>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</si>
  <si>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</si>
  <si>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</si>
  <si>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</si>
  <si>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</si>
  <si>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</si>
  <si>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</si>
  <si>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</si>
  <si>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</si>
  <si>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</si>
  <si>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 xml:space="preserve">CEDULA </t>
  </si>
  <si>
    <t xml:space="preserve">NACIONALIDAD </t>
  </si>
  <si>
    <t>NUMERO</t>
  </si>
  <si>
    <t>SOAT</t>
  </si>
  <si>
    <t>Traspaso de propiedad</t>
  </si>
  <si>
    <t>PRESTAMO.</t>
  </si>
  <si>
    <t>KEIFER ANTONIO</t>
  </si>
  <si>
    <t>GONZALEZ GARCIA</t>
  </si>
  <si>
    <t>COLOMBIANO</t>
  </si>
  <si>
    <t>ACTIVO</t>
  </si>
  <si>
    <t>SALDO ACTUAL PAGADO</t>
  </si>
  <si>
    <t>DEUDA  A PAGAR</t>
  </si>
  <si>
    <t xml:space="preserve">DEUDA TOTAL </t>
  </si>
  <si>
    <t>DEUDA ADQUIRIDA</t>
  </si>
  <si>
    <t>RENTAL MOTORS S.A.S</t>
  </si>
  <si>
    <t>FECHA</t>
  </si>
  <si>
    <t>ABONO</t>
  </si>
  <si>
    <t>REF.</t>
  </si>
  <si>
    <t>M12104683</t>
  </si>
  <si>
    <t>M17963077</t>
  </si>
  <si>
    <t>M3646386</t>
  </si>
  <si>
    <t>M1590008</t>
  </si>
  <si>
    <t>M11235522</t>
  </si>
  <si>
    <t>M18095203</t>
  </si>
  <si>
    <t>M15069032</t>
  </si>
  <si>
    <t>M12186578</t>
  </si>
  <si>
    <t>M23693958</t>
  </si>
  <si>
    <t>M22386553</t>
  </si>
  <si>
    <t>M2547260</t>
  </si>
  <si>
    <t>M29900801</t>
  </si>
  <si>
    <t>M18480368</t>
  </si>
  <si>
    <t>M13377816</t>
  </si>
  <si>
    <t>M6602357</t>
  </si>
  <si>
    <t>M13634784</t>
  </si>
  <si>
    <t>M05808409</t>
  </si>
  <si>
    <t>M09272477</t>
  </si>
  <si>
    <t>M13510902</t>
  </si>
  <si>
    <t>M122091082</t>
  </si>
  <si>
    <t>M11983470</t>
  </si>
  <si>
    <t>M11882352</t>
  </si>
  <si>
    <t>M12814240</t>
  </si>
  <si>
    <t>M15025686</t>
  </si>
  <si>
    <t>M05522903</t>
  </si>
  <si>
    <r>
      <rPr>
        <rFont val="Arial"/>
        <b/>
        <color theme="8"/>
        <sz val="30.0"/>
      </rPr>
      <t xml:space="preserve">RENTAL MOTORS S.A.S                                                             </t>
    </r>
    <r>
      <rPr>
        <rFont val="Arial"/>
        <b/>
        <color theme="8"/>
        <sz val="23.0"/>
      </rPr>
      <t xml:space="preserve">  </t>
    </r>
    <r>
      <rPr>
        <rFont val="Arial"/>
        <b/>
        <color theme="8"/>
        <sz val="16.0"/>
      </rPr>
      <t>Nit. 901843215-2</t>
    </r>
  </si>
  <si>
    <t xml:space="preserve">FOTO </t>
  </si>
  <si>
    <t xml:space="preserve">CUOTAS TOTALES </t>
  </si>
  <si>
    <t>CUOTAS RESTANTES</t>
  </si>
  <si>
    <r>
      <rPr>
        <rFont val="Arial"/>
        <b/>
        <color rgb="FFFFFFFF"/>
        <sz val="34.0"/>
      </rPr>
      <t xml:space="preserve">RENTAL MOTORS S.A.S  </t>
    </r>
    <r>
      <rPr>
        <rFont val="Arial"/>
        <b/>
        <color rgb="FFFFFFFF"/>
        <sz val="13.0"/>
      </rPr>
      <t>Nit. 901843215-2</t>
    </r>
  </si>
  <si>
    <t xml:space="preserve">MOVIL </t>
  </si>
  <si>
    <t xml:space="preserve">NOMBRE Y APELLIDO </t>
  </si>
  <si>
    <t>N/CONTACTO</t>
  </si>
  <si>
    <t>CORREO ELECTRONICO</t>
  </si>
  <si>
    <t xml:space="preserve">FECHA DE INICIO </t>
  </si>
  <si>
    <t>DIRECCION</t>
  </si>
  <si>
    <t>CIUDAD</t>
  </si>
  <si>
    <t>BARRIO</t>
  </si>
  <si>
    <t>MOVIL 31</t>
  </si>
  <si>
    <t>KEIFER ANTONIO GONZALEZ GARCIA</t>
  </si>
  <si>
    <t xml:space="preserve">DATOS PERSONALES </t>
  </si>
  <si>
    <t>NOMBRE Y APELLIDO</t>
  </si>
  <si>
    <t>PARESTESCO</t>
  </si>
  <si>
    <t>YAMIL CASSINI</t>
  </si>
  <si>
    <t>PERSONAL</t>
  </si>
  <si>
    <t>ERIC TRMPIZ</t>
  </si>
  <si>
    <t>EDIXON GONZALEZ</t>
  </si>
  <si>
    <t>FAMILIAR</t>
  </si>
  <si>
    <t>GLORIA GARCIA</t>
  </si>
  <si>
    <r>
      <rPr>
        <rFont val="Arial"/>
        <b/>
        <color rgb="FFFFFFFF"/>
        <sz val="34.0"/>
      </rPr>
      <t xml:space="preserve">RENTAL MOTORS S.A.S  </t>
    </r>
    <r>
      <rPr>
        <rFont val="Arial"/>
        <b/>
        <color rgb="FFFFFFFF"/>
        <sz val="13.0"/>
      </rPr>
      <t>Nit. 901843215-2</t>
    </r>
  </si>
  <si>
    <t>PLAN A</t>
  </si>
  <si>
    <t xml:space="preserve">MESES </t>
  </si>
  <si>
    <t xml:space="preserve">GPS MENSUAL </t>
  </si>
  <si>
    <t>GPS</t>
  </si>
  <si>
    <t>Papeles  &amp; Gps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</si>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</sst>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dd/mm/yyyy"/>
    <numFmt numFmtId="166" formatCode="[$$]#,##0.00"/>
    <numFmt numFmtId="167" formatCode="[$$]#,##0"/>
  </numFmts>
  <fonts count="56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2.0"/>
      <color rgb="FFFFFFFF"/>
      <name val="Nunito"/>
    </font>
    <font>
      <color theme="1"/>
      <name val="Arial"/>
      <scheme val="minor"/>
    </font>
    <font>
      <b/>
      <sz val="12.0"/>
      <color rgb="FF000000"/>
      <name val="Nunito"/>
    </font>
    <font>
      <sz val="17.0"/>
      <color rgb="FF000000"/>
      <name val="Arial"/>
      <scheme val="minor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1.0"/>
      <color rgb="FFF3F3F3"/>
      <name val="Arial"/>
      <scheme val="minor"/>
    </font>
    <font>
      <b/>
      <color rgb="FFFFFFFF"/>
      <name val="Arial"/>
    </font>
    <font>
      <color rgb="FFFFFFFF"/>
      <name val="Arial"/>
    </font>
    <font>
      <color rgb="FFFFFFFF"/>
      <name val="Arial"/>
      <scheme val="minor"/>
    </font>
    <font>
      <b/>
      <sz val="25.0"/>
      <color rgb="FFFFFFFF"/>
      <name val="Arial"/>
      <scheme val="minor"/>
    </font>
    <font>
      <sz val="25.0"/>
      <color theme="1"/>
      <name val="Arial"/>
    </font>
    <font>
      <b/>
      <sz val="25.0"/>
      <color rgb="FFFFFFFF"/>
      <name val="Arial"/>
    </font>
    <font/>
    <font>
      <b/>
      <sz val="25.0"/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  <scheme val="minor"/>
    </font>
    <font>
      <b/>
      <sz val="18.0"/>
      <color rgb="FFFFFFFF"/>
      <name val="Arial"/>
      <scheme val="minor"/>
    </font>
    <font>
      <b/>
      <sz val="15.0"/>
      <color rgb="FF000000"/>
      <name val="Arial"/>
      <scheme val="minor"/>
    </font>
    <font>
      <b/>
      <sz val="12.0"/>
      <color rgb="FFFFFFFF"/>
      <name val="Arial"/>
      <scheme val="minor"/>
    </font>
    <font>
      <b/>
      <color theme="9"/>
      <name val="Arial"/>
      <scheme val="minor"/>
    </font>
    <font>
      <b/>
      <color rgb="FF46BDC6"/>
      <name val="Arial"/>
      <scheme val="minor"/>
    </font>
    <font>
      <color theme="1"/>
      <name val="Arial"/>
    </font>
    <font>
      <b/>
      <sz val="23.0"/>
      <color theme="8"/>
      <name val="Arial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32.0"/>
      <color rgb="FF000000"/>
      <name val="Arial"/>
    </font>
    <font>
      <b/>
      <sz val="13.0"/>
      <color rgb="FFFFFFFF"/>
      <name val="Arial"/>
      <scheme val="minor"/>
    </font>
    <font>
      <sz val="25.0"/>
      <color theme="1"/>
      <name val="Arial"/>
      <scheme val="minor"/>
    </font>
    <font>
      <b/>
      <sz val="14.0"/>
      <color rgb="FFFFFFFF"/>
      <name val="Arial"/>
      <scheme val="minor"/>
    </font>
    <font>
      <b/>
      <sz val="15.0"/>
      <color rgb="FFFFFFFF"/>
      <name val="Arial"/>
    </font>
    <font>
      <b/>
      <sz val="23.0"/>
      <color theme="1"/>
      <name val="Arial"/>
      <scheme val="minor"/>
    </font>
    <font>
      <b/>
      <sz val="30.0"/>
      <color theme="1"/>
      <name val="Arial"/>
    </font>
    <font>
      <b/>
      <sz val="14.0"/>
      <color rgb="FFFFFFFF"/>
      <name val="Nunito"/>
    </font>
    <font>
      <b/>
      <sz val="34.0"/>
      <color rgb="FFFFFFFF"/>
      <name val="Arial"/>
    </font>
    <font>
      <b/>
      <sz val="12.0"/>
      <color rgb="FFFFFFFF"/>
      <name val="Roboto"/>
    </font>
    <font>
      <b/>
      <sz val="12.0"/>
      <color theme="1"/>
      <name val="Roboto"/>
    </font>
    <font>
      <sz val="12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Roboto"/>
    </font>
    <font>
      <b/>
      <sz val="11.0"/>
      <color rgb="FFFFFFFF"/>
      <name val="Arial"/>
      <scheme val="minor"/>
    </font>
    <font>
      <sz val="20.0"/>
      <color theme="1"/>
      <name val="Arial"/>
    </font>
    <font>
      <b/>
      <sz val="13.0"/>
      <color rgb="FF000000"/>
      <name val="Nunito"/>
    </font>
    <font>
      <b/>
      <sz val="15.0"/>
      <color rgb="FF000000"/>
      <name val="Calibri"/>
    </font>
    <font>
      <b/>
      <sz val="15.0"/>
      <color rgb="FF000000"/>
      <name val="Arial"/>
    </font>
    <font>
      <b/>
      <sz val="14.0"/>
      <color theme="1"/>
      <name val="Calibri"/>
    </font>
    <font>
      <b/>
      <sz val="14.0"/>
      <color theme="1"/>
      <name val="Arial"/>
    </font>
    <font>
      <sz val="14.0"/>
      <color rgb="FFEEF0FF"/>
      <name val="Google Sans"/>
    </font>
    <font>
      <b/>
      <sz val="11.0"/>
      <color theme="1"/>
      <name val="Arial"/>
    </font>
    <font>
      <sz val="14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0077D9"/>
        <bgColor rgb="FF0077D9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0AD279"/>
        <bgColor rgb="FF0AD279"/>
      </patternFill>
    </fill>
    <fill>
      <patternFill patternType="solid">
        <fgColor rgb="FFD91616"/>
        <bgColor rgb="FFD91616"/>
      </patternFill>
    </fill>
    <fill>
      <patternFill patternType="solid">
        <fgColor rgb="FFE9E9E9"/>
        <bgColor rgb="FFE9E9E9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1F1F1F"/>
        <bgColor rgb="FF1F1F1F"/>
      </patternFill>
    </fill>
    <fill>
      <patternFill patternType="solid">
        <fgColor rgb="FF00FFFF"/>
        <bgColor rgb="FF00FFFF"/>
      </patternFill>
    </fill>
  </fills>
  <borders count="28">
    <border/>
    <border>
      <left style="thin">
        <color rgb="FF4285F4"/>
      </left>
    </border>
    <border>
      <top style="thin">
        <color rgb="FF4285F4"/>
      </top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D9D9"/>
      </bottom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2" numFmtId="164" xfId="0" applyAlignment="1" applyFill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5" fontId="2" numFmtId="164" xfId="0" applyAlignment="1" applyFill="1" applyFont="1" applyNumberFormat="1">
      <alignment horizontal="center" vertical="bottom"/>
    </xf>
    <xf borderId="0" fillId="6" fontId="3" numFmtId="0" xfId="0" applyFill="1" applyFont="1"/>
    <xf borderId="0" fillId="7" fontId="2" numFmtId="0" xfId="0" applyAlignment="1" applyFill="1" applyFont="1">
      <alignment horizontal="center" shrinkToFit="0" vertical="center" wrapText="1"/>
    </xf>
    <xf borderId="0" fillId="7" fontId="2" numFmtId="0" xfId="0" applyAlignment="1" applyFont="1">
      <alignment horizontal="center" vertical="center"/>
    </xf>
    <xf borderId="0" fillId="7" fontId="2" numFmtId="0" xfId="0" applyAlignment="1" applyFont="1">
      <alignment horizontal="center" readingOrder="0" vertical="center"/>
    </xf>
    <xf borderId="0" fillId="8" fontId="4" numFmtId="164" xfId="0" applyAlignment="1" applyFill="1" applyFont="1" applyNumberFormat="1">
      <alignment horizontal="center" vertical="bottom"/>
    </xf>
    <xf borderId="0" fillId="8" fontId="4" numFmtId="164" xfId="0" applyAlignment="1" applyFont="1" applyNumberFormat="1">
      <alignment horizontal="center" vertical="center"/>
    </xf>
    <xf borderId="0" fillId="8" fontId="4" numFmtId="0" xfId="0" applyAlignment="1" applyFont="1">
      <alignment horizontal="center" readingOrder="0" vertical="center"/>
    </xf>
    <xf borderId="0" fillId="9" fontId="4" numFmtId="164" xfId="0" applyAlignment="1" applyFill="1" applyFont="1" applyNumberFormat="1">
      <alignment horizontal="center" vertical="center"/>
    </xf>
    <xf borderId="0" fillId="8" fontId="5" numFmtId="164" xfId="0" applyAlignment="1" applyFont="1" applyNumberFormat="1">
      <alignment horizontal="center"/>
    </xf>
    <xf borderId="0" fillId="10" fontId="6" numFmtId="0" xfId="0" applyAlignment="1" applyFill="1" applyFont="1">
      <alignment horizontal="center" vertical="center"/>
    </xf>
    <xf borderId="0" fillId="11" fontId="7" numFmtId="0" xfId="0" applyAlignment="1" applyFill="1" applyFont="1">
      <alignment horizontal="center" readingOrder="0" shrinkToFit="0" vertical="center" wrapText="1"/>
    </xf>
    <xf borderId="0" fillId="11" fontId="8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vertical="bottom"/>
    </xf>
    <xf borderId="0" fillId="3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12" fontId="11" numFmtId="0" xfId="0" applyAlignment="1" applyFill="1" applyFont="1">
      <alignment horizontal="center" readingOrder="0"/>
    </xf>
    <xf borderId="0" fillId="13" fontId="12" numFmtId="0" xfId="0" applyAlignment="1" applyFill="1" applyFont="1">
      <alignment horizontal="center" readingOrder="0"/>
    </xf>
    <xf borderId="0" fillId="14" fontId="3" numFmtId="0" xfId="0" applyFill="1" applyFont="1"/>
    <xf borderId="1" fillId="14" fontId="3" numFmtId="0" xfId="0" applyBorder="1" applyFont="1"/>
    <xf borderId="2" fillId="14" fontId="3" numFmtId="0" xfId="0" applyBorder="1" applyFont="1"/>
    <xf borderId="3" fillId="14" fontId="3" numFmtId="0" xfId="0" applyBorder="1" applyFont="1"/>
    <xf borderId="0" fillId="7" fontId="13" numFmtId="0" xfId="0" applyAlignment="1" applyFont="1">
      <alignment horizontal="center" vertical="bottom"/>
    </xf>
    <xf borderId="0" fillId="7" fontId="14" numFmtId="0" xfId="0" applyAlignment="1" applyFont="1">
      <alignment horizontal="center" readingOrder="0" vertical="bottom"/>
    </xf>
    <xf borderId="1" fillId="7" fontId="15" numFmtId="0" xfId="0" applyAlignment="1" applyBorder="1" applyFont="1">
      <alignment horizontal="center" readingOrder="0"/>
    </xf>
    <xf borderId="0" fillId="7" fontId="15" numFmtId="0" xfId="0" applyAlignment="1" applyFont="1">
      <alignment readingOrder="0"/>
    </xf>
    <xf borderId="4" fillId="6" fontId="16" numFmtId="4" xfId="0" applyAlignment="1" applyBorder="1" applyFont="1" applyNumberFormat="1">
      <alignment horizontal="center" readingOrder="0" vertical="center"/>
    </xf>
    <xf borderId="0" fillId="14" fontId="17" numFmtId="3" xfId="0" applyAlignment="1" applyFont="1" applyNumberFormat="1">
      <alignment horizontal="center" vertical="bottom"/>
    </xf>
    <xf borderId="0" fillId="15" fontId="18" numFmtId="4" xfId="0" applyAlignment="1" applyFill="1" applyFont="1" applyNumberFormat="1">
      <alignment horizontal="center" vertical="bottom"/>
    </xf>
    <xf borderId="1" fillId="16" fontId="16" numFmtId="4" xfId="0" applyAlignment="1" applyBorder="1" applyFill="1" applyFont="1" applyNumberFormat="1">
      <alignment horizontal="center"/>
    </xf>
    <xf borderId="0" fillId="16" fontId="3" numFmtId="0" xfId="0" applyFont="1"/>
    <xf borderId="4" fillId="0" fontId="19" numFmtId="0" xfId="0" applyBorder="1" applyFont="1"/>
    <xf borderId="1" fillId="0" fontId="19" numFmtId="0" xfId="0" applyBorder="1" applyFont="1"/>
    <xf borderId="4" fillId="14" fontId="20" numFmtId="0" xfId="0" applyAlignment="1" applyBorder="1" applyFont="1">
      <alignment horizontal="center"/>
    </xf>
    <xf borderId="0" fillId="17" fontId="11" numFmtId="0" xfId="0" applyAlignment="1" applyFill="1" applyFont="1">
      <alignment readingOrder="0"/>
    </xf>
    <xf borderId="5" fillId="18" fontId="3" numFmtId="0" xfId="0" applyBorder="1" applyFill="1" applyFont="1"/>
    <xf borderId="6" fillId="0" fontId="19" numFmtId="0" xfId="0" applyBorder="1" applyFont="1"/>
    <xf borderId="7" fillId="0" fontId="19" numFmtId="0" xfId="0" applyBorder="1" applyFont="1"/>
    <xf borderId="0" fillId="14" fontId="3" numFmtId="0" xfId="0" applyAlignment="1" applyFont="1">
      <alignment horizontal="center" readingOrder="0"/>
    </xf>
    <xf borderId="0" fillId="19" fontId="21" numFmtId="165" xfId="0" applyAlignment="1" applyFill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/>
    </xf>
    <xf borderId="0" fillId="19" fontId="21" numFmtId="165" xfId="0" applyAlignment="1" applyFont="1" applyNumberFormat="1">
      <alignment horizontal="center" readingOrder="0" vertical="bottom"/>
    </xf>
    <xf borderId="0" fillId="14" fontId="2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14" fontId="11" numFmtId="164" xfId="0" applyAlignment="1" applyFont="1" applyNumberFormat="1">
      <alignment horizontal="center"/>
    </xf>
    <xf borderId="0" fillId="14" fontId="24" numFmtId="0" xfId="0" applyAlignment="1" applyFont="1">
      <alignment horizontal="center" readingOrder="0"/>
    </xf>
    <xf borderId="0" fillId="12" fontId="25" numFmtId="0" xfId="0" applyAlignment="1" applyFont="1">
      <alignment horizontal="center" readingOrder="0"/>
    </xf>
    <xf borderId="0" fillId="14" fontId="26" numFmtId="0" xfId="0" applyAlignment="1" applyFont="1">
      <alignment horizontal="center" readingOrder="0"/>
    </xf>
    <xf borderId="0" fillId="20" fontId="3" numFmtId="0" xfId="0" applyFill="1" applyFont="1"/>
    <xf borderId="0" fillId="12" fontId="25" numFmtId="0" xfId="0" applyFont="1"/>
    <xf borderId="0" fillId="12" fontId="25" numFmtId="0" xfId="0" applyAlignment="1" applyFont="1">
      <alignment readingOrder="0"/>
    </xf>
    <xf borderId="0" fillId="12" fontId="25" numFmtId="0" xfId="0" applyAlignment="1" applyFont="1">
      <alignment horizontal="center"/>
    </xf>
    <xf borderId="0" fillId="14" fontId="27" numFmtId="0" xfId="0" applyAlignment="1" applyFont="1">
      <alignment horizontal="center" readingOrder="0"/>
    </xf>
    <xf borderId="0" fillId="0" fontId="28" numFmtId="164" xfId="0" applyAlignment="1" applyFont="1" applyNumberFormat="1">
      <alignment vertical="bottom"/>
    </xf>
    <xf borderId="8" fillId="6" fontId="29" numFmtId="0" xfId="0" applyAlignment="1" applyBorder="1" applyFont="1">
      <alignment horizontal="center" readingOrder="0" shrinkToFit="0" vertical="bottom" wrapText="1"/>
    </xf>
    <xf borderId="9" fillId="0" fontId="19" numFmtId="0" xfId="0" applyBorder="1" applyFont="1"/>
    <xf borderId="10" fillId="0" fontId="19" numFmtId="0" xfId="0" applyBorder="1" applyFont="1"/>
    <xf borderId="11" fillId="0" fontId="19" numFmtId="0" xfId="0" applyBorder="1" applyFont="1"/>
    <xf borderId="12" fillId="0" fontId="19" numFmtId="0" xfId="0" applyBorder="1" applyFont="1"/>
    <xf borderId="13" fillId="0" fontId="19" numFmtId="0" xfId="0" applyBorder="1" applyFont="1"/>
    <xf borderId="14" fillId="0" fontId="19" numFmtId="0" xfId="0" applyBorder="1" applyFont="1"/>
    <xf borderId="15" fillId="0" fontId="19" numFmtId="0" xfId="0" applyBorder="1" applyFont="1"/>
    <xf borderId="16" fillId="6" fontId="3" numFmtId="0" xfId="0" applyBorder="1" applyFont="1"/>
    <xf borderId="16" fillId="6" fontId="3" numFmtId="0" xfId="0" applyAlignment="1" applyBorder="1" applyFont="1">
      <alignment horizontal="center"/>
    </xf>
    <xf borderId="8" fillId="0" fontId="30" numFmtId="0" xfId="0" applyAlignment="1" applyBorder="1" applyFont="1">
      <alignment horizontal="center" readingOrder="0" textRotation="45" vertical="center"/>
    </xf>
    <xf borderId="16" fillId="14" fontId="31" numFmtId="0" xfId="0" applyAlignment="1" applyBorder="1" applyFont="1">
      <alignment horizontal="center" vertical="center"/>
    </xf>
    <xf borderId="16" fillId="21" fontId="31" numFmtId="0" xfId="0" applyAlignment="1" applyBorder="1" applyFill="1" applyFont="1">
      <alignment horizontal="center" vertical="center"/>
    </xf>
    <xf borderId="16" fillId="21" fontId="31" numFmtId="3" xfId="0" applyAlignment="1" applyBorder="1" applyFont="1" applyNumberFormat="1">
      <alignment horizontal="center" vertical="center"/>
    </xf>
    <xf borderId="16" fillId="21" fontId="31" numFmtId="0" xfId="0" applyAlignment="1" applyBorder="1" applyFont="1">
      <alignment horizontal="center" readingOrder="0" vertical="center"/>
    </xf>
    <xf borderId="17" fillId="14" fontId="32" numFmtId="0" xfId="0" applyAlignment="1" applyBorder="1" applyFont="1">
      <alignment horizontal="center" readingOrder="0"/>
    </xf>
    <xf borderId="8" fillId="14" fontId="3" numFmtId="0" xfId="0" applyBorder="1" applyFont="1"/>
    <xf borderId="18" fillId="0" fontId="19" numFmtId="0" xfId="0" applyBorder="1" applyFont="1"/>
    <xf borderId="17" fillId="17" fontId="33" numFmtId="0" xfId="0" applyAlignment="1" applyBorder="1" applyFont="1">
      <alignment horizontal="center" vertical="center"/>
    </xf>
    <xf borderId="8" fillId="17" fontId="33" numFmtId="0" xfId="0" applyAlignment="1" applyBorder="1" applyFont="1">
      <alignment horizontal="center" vertical="center"/>
    </xf>
    <xf borderId="19" fillId="0" fontId="19" numFmtId="0" xfId="0" applyBorder="1" applyFont="1"/>
    <xf borderId="16" fillId="0" fontId="3" numFmtId="0" xfId="0" applyBorder="1" applyFont="1"/>
    <xf borderId="16" fillId="22" fontId="34" numFmtId="164" xfId="0" applyAlignment="1" applyBorder="1" applyFill="1" applyFont="1" applyNumberFormat="1">
      <alignment horizontal="center" shrinkToFit="0" vertical="center" wrapText="0"/>
    </xf>
    <xf borderId="20" fillId="23" fontId="34" numFmtId="164" xfId="0" applyAlignment="1" applyBorder="1" applyFill="1" applyFont="1" applyNumberFormat="1">
      <alignment horizontal="center" shrinkToFit="0" vertical="center" wrapText="0"/>
    </xf>
    <xf borderId="21" fillId="0" fontId="19" numFmtId="0" xfId="0" applyBorder="1" applyFont="1"/>
    <xf borderId="20" fillId="6" fontId="35" numFmtId="0" xfId="0" applyAlignment="1" applyBorder="1" applyFont="1">
      <alignment horizontal="center" readingOrder="0" vertical="center"/>
    </xf>
    <xf borderId="16" fillId="6" fontId="36" numFmtId="4" xfId="0" applyAlignment="1" applyBorder="1" applyFont="1" applyNumberFormat="1">
      <alignment horizontal="center" readingOrder="0"/>
    </xf>
    <xf borderId="20" fillId="6" fontId="36" numFmtId="0" xfId="0" applyAlignment="1" applyBorder="1" applyFont="1">
      <alignment horizontal="center" readingOrder="0"/>
    </xf>
    <xf borderId="20" fillId="14" fontId="37" numFmtId="0" xfId="0" applyAlignment="1" applyBorder="1" applyFont="1">
      <alignment horizontal="center" vertical="center"/>
    </xf>
    <xf borderId="16" fillId="14" fontId="38" numFmtId="0" xfId="0" applyAlignment="1" applyBorder="1" applyFont="1">
      <alignment horizontal="center" readingOrder="0" vertical="center"/>
    </xf>
    <xf borderId="20" fillId="14" fontId="38" numFmtId="0" xfId="0" applyAlignment="1" applyBorder="1" applyFont="1">
      <alignment horizontal="center" readingOrder="0" vertical="center"/>
    </xf>
    <xf borderId="16" fillId="2" fontId="1" numFmtId="0" xfId="0" applyAlignment="1" applyBorder="1" applyFont="1">
      <alignment horizontal="center" vertical="bottom"/>
    </xf>
    <xf borderId="16" fillId="4" fontId="39" numFmtId="164" xfId="0" applyAlignment="1" applyBorder="1" applyFont="1" applyNumberFormat="1">
      <alignment horizontal="center" vertical="bottom"/>
    </xf>
    <xf borderId="16" fillId="4" fontId="39" numFmtId="0" xfId="0" applyAlignment="1" applyBorder="1" applyFont="1">
      <alignment horizontal="center" vertical="bottom"/>
    </xf>
    <xf borderId="16" fillId="5" fontId="3" numFmtId="0" xfId="0" applyBorder="1" applyFont="1"/>
    <xf borderId="16" fillId="11" fontId="7" numFmtId="0" xfId="0" applyAlignment="1" applyBorder="1" applyFont="1">
      <alignment horizontal="center" readingOrder="0" shrinkToFit="0" vertical="center" wrapText="1"/>
    </xf>
    <xf borderId="16" fillId="11" fontId="8" numFmtId="0" xfId="0" applyAlignment="1" applyBorder="1" applyFont="1">
      <alignment horizontal="center" readingOrder="0" shrinkToFit="0" vertical="center" wrapText="1"/>
    </xf>
    <xf borderId="16" fillId="12" fontId="11" numFmtId="0" xfId="0" applyAlignment="1" applyBorder="1" applyFont="1">
      <alignment horizontal="center" readingOrder="0"/>
    </xf>
    <xf borderId="16" fillId="13" fontId="12" numFmtId="0" xfId="0" applyAlignment="1" applyBorder="1" applyFont="1">
      <alignment horizontal="center" readingOrder="0"/>
    </xf>
    <xf borderId="0" fillId="12" fontId="40" numFmtId="0" xfId="0" applyAlignment="1" applyFont="1">
      <alignment horizontal="center" vertical="bottom"/>
    </xf>
    <xf borderId="0" fillId="5" fontId="41" numFmtId="0" xfId="0" applyAlignment="1" applyFont="1">
      <alignment horizontal="center" readingOrder="0" shrinkToFit="0" vertical="center" wrapText="1"/>
    </xf>
    <xf borderId="22" fillId="24" fontId="42" numFmtId="0" xfId="0" applyAlignment="1" applyBorder="1" applyFill="1" applyFont="1">
      <alignment horizontal="center" readingOrder="0" shrinkToFit="0" vertical="center" wrapText="1"/>
    </xf>
    <xf borderId="0" fillId="0" fontId="43" numFmtId="0" xfId="0" applyAlignment="1" applyFont="1">
      <alignment horizontal="center" shrinkToFit="0" vertical="center" wrapText="1"/>
    </xf>
    <xf borderId="0" fillId="3" fontId="43" numFmtId="0" xfId="0" applyAlignment="1" applyFont="1">
      <alignment horizontal="center" readingOrder="0" vertical="center"/>
    </xf>
    <xf borderId="0" fillId="8" fontId="44" numFmtId="0" xfId="0" applyAlignment="1" applyFont="1">
      <alignment horizontal="center" vertical="bottom"/>
    </xf>
    <xf borderId="0" fillId="3" fontId="22" numFmtId="0" xfId="0" applyAlignment="1" applyFont="1">
      <alignment horizontal="center" readingOrder="0" vertical="center"/>
    </xf>
    <xf borderId="0" fillId="3" fontId="43" numFmtId="165" xfId="0" applyAlignment="1" applyFont="1" applyNumberFormat="1">
      <alignment horizontal="center" readingOrder="0" vertical="center"/>
    </xf>
    <xf borderId="0" fillId="3" fontId="43" numFmtId="0" xfId="0" applyAlignment="1" applyFont="1">
      <alignment horizontal="center" vertical="center"/>
    </xf>
    <xf borderId="0" fillId="25" fontId="3" numFmtId="0" xfId="0" applyAlignment="1" applyFill="1" applyFont="1">
      <alignment horizontal="center" vertical="center"/>
    </xf>
    <xf borderId="0" fillId="25" fontId="3" numFmtId="0" xfId="0" applyFont="1"/>
    <xf borderId="0" fillId="7" fontId="25" numFmtId="0" xfId="0" applyAlignment="1" applyFont="1">
      <alignment horizontal="center"/>
    </xf>
    <xf borderId="0" fillId="7" fontId="25" numFmtId="0" xfId="0" applyAlignment="1" applyFont="1">
      <alignment horizontal="center" readingOrder="0"/>
    </xf>
    <xf borderId="0" fillId="7" fontId="25" numFmtId="0" xfId="0" applyFont="1"/>
    <xf borderId="0" fillId="26" fontId="10" numFmtId="0" xfId="0" applyAlignment="1" applyFill="1" applyFont="1">
      <alignment horizontal="center"/>
    </xf>
    <xf borderId="0" fillId="26" fontId="10" numFmtId="0" xfId="0" applyAlignment="1" applyFont="1">
      <alignment horizontal="center" readingOrder="0"/>
    </xf>
    <xf borderId="22" fillId="26" fontId="4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14" fontId="46" numFmtId="0" xfId="0" applyAlignment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14" fontId="46" numFmtId="0" xfId="0" applyAlignment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7" fontId="3" numFmtId="0" xfId="0" applyAlignment="1" applyFont="1">
      <alignment horizontal="center"/>
    </xf>
    <xf borderId="23" fillId="27" fontId="47" numFmtId="0" xfId="0" applyAlignment="1" applyBorder="1" applyFill="1" applyFont="1">
      <alignment vertical="bottom"/>
    </xf>
    <xf borderId="24" fillId="0" fontId="19" numFmtId="0" xfId="0" applyBorder="1" applyFont="1"/>
    <xf borderId="25" fillId="0" fontId="19" numFmtId="0" xfId="0" applyBorder="1" applyFont="1"/>
    <xf borderId="0" fillId="6" fontId="14" numFmtId="0" xfId="0" applyAlignment="1" applyFont="1">
      <alignment horizontal="center" vertical="bottom"/>
    </xf>
    <xf borderId="0" fillId="19" fontId="48" numFmtId="164" xfId="0" applyAlignment="1" applyFont="1" applyNumberFormat="1">
      <alignment horizontal="center" vertical="bottom"/>
    </xf>
    <xf borderId="0" fillId="3" fontId="49" numFmtId="166" xfId="0" applyAlignment="1" applyFont="1" applyNumberFormat="1">
      <alignment horizontal="center" vertical="bottom"/>
    </xf>
    <xf borderId="0" fillId="3" fontId="50" numFmtId="166" xfId="0" applyAlignment="1" applyFont="1" applyNumberFormat="1">
      <alignment horizontal="center" readingOrder="0" vertical="bottom"/>
    </xf>
    <xf borderId="0" fillId="3" fontId="51" numFmtId="1" xfId="0" applyAlignment="1" applyFont="1" applyNumberFormat="1">
      <alignment horizontal="center" vertical="bottom"/>
    </xf>
    <xf borderId="9" fillId="20" fontId="52" numFmtId="166" xfId="0" applyAlignment="1" applyBorder="1" applyFont="1" applyNumberFormat="1">
      <alignment horizontal="center" vertical="bottom"/>
    </xf>
    <xf borderId="9" fillId="7" fontId="1" numFmtId="166" xfId="0" applyAlignment="1" applyBorder="1" applyFont="1" applyNumberFormat="1">
      <alignment horizontal="center" vertical="bottom"/>
    </xf>
    <xf borderId="26" fillId="7" fontId="1" numFmtId="167" xfId="0" applyAlignment="1" applyBorder="1" applyFont="1" applyNumberFormat="1">
      <alignment horizontal="center" vertical="bottom"/>
    </xf>
    <xf borderId="9" fillId="12" fontId="52" numFmtId="166" xfId="0" applyAlignment="1" applyBorder="1" applyFont="1" applyNumberFormat="1">
      <alignment horizontal="center" vertical="bottom"/>
    </xf>
    <xf borderId="9" fillId="12" fontId="1" numFmtId="166" xfId="0" applyAlignment="1" applyBorder="1" applyFont="1" applyNumberFormat="1">
      <alignment horizontal="center" vertical="bottom"/>
    </xf>
    <xf borderId="26" fillId="12" fontId="1" numFmtId="167" xfId="0" applyAlignment="1" applyBorder="1" applyFont="1" applyNumberFormat="1">
      <alignment horizontal="center" vertical="bottom"/>
    </xf>
    <xf borderId="20" fillId="21" fontId="28" numFmtId="0" xfId="0" applyAlignment="1" applyBorder="1" applyFont="1">
      <alignment vertical="bottom"/>
    </xf>
    <xf borderId="14" fillId="21" fontId="28" numFmtId="0" xfId="0" applyAlignment="1" applyBorder="1" applyFont="1">
      <alignment vertical="bottom"/>
    </xf>
    <xf borderId="27" fillId="21" fontId="28" numFmtId="0" xfId="0" applyAlignment="1" applyBorder="1" applyFont="1">
      <alignment vertical="bottom"/>
    </xf>
    <xf borderId="0" fillId="21" fontId="28" numFmtId="0" xfId="0" applyAlignment="1" applyFont="1">
      <alignment vertical="bottom"/>
    </xf>
    <xf borderId="0" fillId="28" fontId="53" numFmtId="0" xfId="0" applyAlignment="1" applyFill="1" applyFont="1">
      <alignment horizontal="center" readingOrder="0" shrinkToFit="0" vertical="center" wrapText="1"/>
    </xf>
    <xf borderId="27" fillId="29" fontId="54" numFmtId="0" xfId="0" applyAlignment="1" applyBorder="1" applyFill="1" applyFont="1">
      <alignment horizontal="center" vertical="bottom"/>
    </xf>
    <xf borderId="27" fillId="13" fontId="28" numFmtId="0" xfId="0" applyAlignment="1" applyBorder="1" applyFont="1">
      <alignment horizontal="center" vertical="bottom"/>
    </xf>
    <xf borderId="11" fillId="20" fontId="52" numFmtId="166" xfId="0" applyAlignment="1" applyBorder="1" applyFont="1" applyNumberFormat="1">
      <alignment horizontal="center" vertical="bottom"/>
    </xf>
    <xf borderId="11" fillId="20" fontId="55" numFmtId="166" xfId="0" applyAlignment="1" applyBorder="1" applyFont="1" applyNumberFormat="1">
      <alignment vertical="bottom"/>
    </xf>
    <xf borderId="8" fillId="20" fontId="52" numFmtId="166" xfId="0" applyAlignment="1" applyBorder="1" applyFont="1" applyNumberFormat="1">
      <alignment horizontal="center" vertical="bottom"/>
    </xf>
    <xf borderId="11" fillId="20" fontId="28" numFmtId="166" xfId="0" applyAlignment="1" applyBorder="1" applyFont="1" applyNumberFormat="1">
      <alignment readingOrder="0" vertical="bottom"/>
    </xf>
    <xf borderId="11" fillId="20" fontId="28" numFmtId="166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1533525</xdr:colOff>
      <xdr:row>0</xdr:row>
      <xdr:rowOff>9525</xdr:rowOff>
    </xdr:from>
    <xdr:ext cx="1781175" cy="2800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3</xdr:row>
      <xdr:rowOff>200025</xdr:rowOff>
    </xdr:from>
    <xdr:ext cx="2419350" cy="210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6.38"/>
    <col customWidth="1" min="2" max="2" width="21.25"/>
    <col customWidth="1" min="3" max="3" width="16.38"/>
    <col customWidth="1" min="4" max="4" width="17.25"/>
    <col customWidth="1" min="5" max="5" width="18.25"/>
    <col customWidth="1" min="6" max="6" width="16.0"/>
    <col customWidth="1" min="7" max="7" width="17.63"/>
    <col customWidth="1" min="8" max="8" width="20.13"/>
    <col customWidth="1" min="9" max="9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4">
        <v>2026.0</v>
      </c>
      <c r="D2" s="3" t="s">
        <v>10</v>
      </c>
      <c r="E2" s="3" t="s">
        <v>11</v>
      </c>
      <c r="F2" s="4">
        <v>31.0</v>
      </c>
      <c r="G2" s="5">
        <v>1.1E7</v>
      </c>
      <c r="H2" s="5">
        <v>1900000.0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7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9" t="s">
        <v>17</v>
      </c>
      <c r="G4" s="8" t="s">
        <v>18</v>
      </c>
      <c r="H4" s="8" t="s">
        <v>19</v>
      </c>
    </row>
    <row r="5">
      <c r="A5" s="10">
        <f>G2</f>
        <v>11000000</v>
      </c>
      <c r="B5" s="11">
        <f>A5*1.3905</f>
        <v>15295500</v>
      </c>
      <c r="C5" s="11">
        <f>B5+A5</f>
        <v>26295500</v>
      </c>
      <c r="D5" s="12">
        <v>26.0</v>
      </c>
      <c r="E5" s="11">
        <f>C5/D5</f>
        <v>1011365.385</v>
      </c>
      <c r="F5" s="11">
        <f t="shared" ref="F5:G5" si="1">E5/2</f>
        <v>505682.6923</v>
      </c>
      <c r="G5" s="13">
        <f t="shared" si="1"/>
        <v>252841.3462</v>
      </c>
      <c r="H5" s="14">
        <f>G5/6</f>
        <v>42140.22436</v>
      </c>
    </row>
    <row r="6">
      <c r="A6" s="15" t="s">
        <v>20</v>
      </c>
      <c r="B6" s="15" t="s">
        <v>21</v>
      </c>
      <c r="C6" s="15" t="s">
        <v>22</v>
      </c>
      <c r="D6" s="15" t="s">
        <v>23</v>
      </c>
      <c r="E6" s="15" t="s">
        <v>24</v>
      </c>
      <c r="F6" s="16" t="s">
        <v>25</v>
      </c>
      <c r="G6" s="17" t="s">
        <v>26</v>
      </c>
      <c r="H6" s="17" t="s">
        <v>27</v>
      </c>
    </row>
    <row r="7">
      <c r="A7" s="18" t="s">
        <v>28</v>
      </c>
      <c r="B7" s="18" t="s">
        <v>29</v>
      </c>
      <c r="C7" s="18">
        <v>1.047520588E9</v>
      </c>
      <c r="D7" s="19" t="s">
        <v>30</v>
      </c>
      <c r="E7" s="20">
        <v>3.226603949E9</v>
      </c>
      <c r="F7" s="21" t="s">
        <v>31</v>
      </c>
      <c r="G7" s="21" t="s">
        <v>31</v>
      </c>
      <c r="H7" s="22">
        <v>0.0</v>
      </c>
    </row>
    <row r="8">
      <c r="A8" s="23"/>
      <c r="B8" s="23"/>
      <c r="C8" s="23"/>
      <c r="D8" s="23"/>
      <c r="E8" s="24"/>
      <c r="F8" s="25"/>
      <c r="G8" s="25"/>
      <c r="H8" s="26"/>
    </row>
    <row r="9">
      <c r="A9" s="27" t="s">
        <v>32</v>
      </c>
      <c r="C9" s="28" t="s">
        <v>33</v>
      </c>
      <c r="E9" s="29" t="s">
        <v>34</v>
      </c>
      <c r="G9" s="30" t="s">
        <v>35</v>
      </c>
      <c r="H9" s="31" t="s">
        <v>15</v>
      </c>
    </row>
    <row r="10">
      <c r="A10" s="32">
        <f>I14+I24+I34+I44+I54+I64+I74+I84+I94+I104+I114+I124</f>
        <v>11849000</v>
      </c>
      <c r="C10" s="33">
        <f>C5-A10</f>
        <v>14446500</v>
      </c>
      <c r="E10" s="34">
        <f>C10+G10</f>
        <v>14446500</v>
      </c>
      <c r="G10" s="35"/>
      <c r="H10" s="36"/>
    </row>
    <row r="11">
      <c r="E11" s="37"/>
      <c r="H11" s="38">
        <f>I21+I31+I41+I51+I61+I71+I81+I91+I101+I111+I121+I131</f>
        <v>11</v>
      </c>
    </row>
    <row r="12">
      <c r="A12" s="39" t="s">
        <v>36</v>
      </c>
      <c r="E12" s="40"/>
      <c r="F12" s="41"/>
      <c r="G12" s="41"/>
      <c r="H12" s="42"/>
    </row>
    <row r="13">
      <c r="A13" s="43" t="s">
        <v>37</v>
      </c>
      <c r="B13" s="43" t="s">
        <v>38</v>
      </c>
      <c r="C13" s="43" t="s">
        <v>37</v>
      </c>
      <c r="D13" s="43" t="s">
        <v>38</v>
      </c>
      <c r="E13" s="43" t="s">
        <v>37</v>
      </c>
      <c r="F13" s="43" t="s">
        <v>38</v>
      </c>
      <c r="G13" s="43" t="s">
        <v>37</v>
      </c>
      <c r="H13" s="43" t="s">
        <v>38</v>
      </c>
      <c r="I13" s="43"/>
    </row>
    <row r="14">
      <c r="A14" s="44">
        <v>45845.0</v>
      </c>
      <c r="B14" s="45">
        <v>253000.0</v>
      </c>
      <c r="C14" s="46">
        <v>45852.0</v>
      </c>
      <c r="D14" s="45">
        <v>253000.0</v>
      </c>
      <c r="E14" s="46">
        <v>45859.0</v>
      </c>
      <c r="F14" s="45">
        <v>253000.0</v>
      </c>
      <c r="G14" s="46">
        <v>45866.0</v>
      </c>
      <c r="H14" s="45">
        <v>253000.0</v>
      </c>
      <c r="I14" s="47">
        <f>B20+D20+F20+H20</f>
        <v>1012000</v>
      </c>
    </row>
    <row r="15">
      <c r="A15" s="44">
        <v>45846.0</v>
      </c>
      <c r="B15" s="48"/>
      <c r="C15" s="46">
        <v>45853.0</v>
      </c>
      <c r="D15" s="49"/>
      <c r="E15" s="46">
        <v>45860.0</v>
      </c>
      <c r="F15" s="49"/>
      <c r="G15" s="46">
        <v>45867.0</v>
      </c>
      <c r="H15" s="49"/>
    </row>
    <row r="16">
      <c r="A16" s="44">
        <v>45847.0</v>
      </c>
      <c r="B16" s="49"/>
      <c r="C16" s="46">
        <v>45854.0</v>
      </c>
      <c r="D16" s="49"/>
      <c r="E16" s="46">
        <v>45861.0</v>
      </c>
      <c r="F16" s="48"/>
      <c r="G16" s="46">
        <v>45868.0</v>
      </c>
      <c r="H16" s="49"/>
    </row>
    <row r="17">
      <c r="A17" s="44">
        <v>45848.0</v>
      </c>
      <c r="B17" s="49"/>
      <c r="C17" s="46">
        <v>45855.0</v>
      </c>
      <c r="D17" s="49"/>
      <c r="E17" s="46">
        <v>45862.0</v>
      </c>
      <c r="F17" s="49"/>
      <c r="G17" s="46">
        <v>45869.0</v>
      </c>
      <c r="H17" s="49"/>
    </row>
    <row r="18">
      <c r="A18" s="44">
        <v>45849.0</v>
      </c>
      <c r="B18" s="49"/>
      <c r="C18" s="46">
        <v>45856.0</v>
      </c>
      <c r="D18" s="49"/>
      <c r="E18" s="46">
        <v>45863.0</v>
      </c>
      <c r="F18" s="49"/>
      <c r="G18" s="46">
        <v>45870.0</v>
      </c>
      <c r="H18" s="49"/>
    </row>
    <row r="19">
      <c r="A19" s="44">
        <v>45850.0</v>
      </c>
      <c r="B19" s="49"/>
      <c r="C19" s="46">
        <v>45857.0</v>
      </c>
      <c r="D19" s="49"/>
      <c r="E19" s="46">
        <v>45864.0</v>
      </c>
      <c r="F19" s="49"/>
      <c r="G19" s="46">
        <v>45871.0</v>
      </c>
      <c r="H19" s="49"/>
    </row>
    <row r="20">
      <c r="A20" s="43"/>
      <c r="B20" s="50">
        <f>SUM(B14:B19)</f>
        <v>253000</v>
      </c>
      <c r="C20" s="43"/>
      <c r="D20" s="50">
        <f>SUM(D14:D19)</f>
        <v>253000</v>
      </c>
      <c r="E20" s="43"/>
      <c r="F20" s="50">
        <f>SUM(F14:F19)</f>
        <v>253000</v>
      </c>
      <c r="G20" s="43"/>
      <c r="H20" s="50">
        <f>SUM(H14:H19)</f>
        <v>253000</v>
      </c>
      <c r="I20" s="51">
        <v>1.0</v>
      </c>
    </row>
    <row r="21">
      <c r="A21" s="43" t="s">
        <v>39</v>
      </c>
      <c r="B21" s="52" t="s">
        <v>40</v>
      </c>
      <c r="C21" s="43" t="s">
        <v>39</v>
      </c>
      <c r="D21" s="52" t="s">
        <v>41</v>
      </c>
      <c r="E21" s="43" t="s">
        <v>39</v>
      </c>
      <c r="F21" s="52" t="s">
        <v>42</v>
      </c>
      <c r="G21" s="43" t="s">
        <v>39</v>
      </c>
      <c r="H21" s="52" t="s">
        <v>43</v>
      </c>
      <c r="I21" s="53">
        <v>1.0</v>
      </c>
    </row>
    <row r="22">
      <c r="A22" s="54"/>
      <c r="B22" s="54"/>
      <c r="C22" s="54"/>
      <c r="D22" s="54"/>
      <c r="E22" s="54"/>
      <c r="F22" s="54"/>
      <c r="G22" s="54"/>
      <c r="H22" s="54"/>
      <c r="I22" s="54"/>
    </row>
    <row r="23">
      <c r="A23" s="43" t="s">
        <v>37</v>
      </c>
      <c r="B23" s="43" t="s">
        <v>38</v>
      </c>
      <c r="C23" s="43" t="s">
        <v>37</v>
      </c>
      <c r="D23" s="43" t="s">
        <v>38</v>
      </c>
      <c r="E23" s="43" t="s">
        <v>37</v>
      </c>
      <c r="F23" s="43" t="s">
        <v>38</v>
      </c>
      <c r="G23" s="43" t="s">
        <v>37</v>
      </c>
      <c r="H23" s="43" t="s">
        <v>38</v>
      </c>
      <c r="I23" s="43"/>
    </row>
    <row r="24">
      <c r="A24" s="46">
        <v>45873.0</v>
      </c>
      <c r="B24" s="45">
        <v>253000.0</v>
      </c>
      <c r="C24" s="46">
        <v>45880.0</v>
      </c>
      <c r="D24" s="45">
        <v>253000.0</v>
      </c>
      <c r="E24" s="46">
        <v>45887.0</v>
      </c>
      <c r="F24" s="45">
        <v>253000.0</v>
      </c>
      <c r="G24" s="46">
        <v>45894.0</v>
      </c>
      <c r="H24" s="45">
        <v>253000.0</v>
      </c>
      <c r="I24" s="47">
        <f>B30+D30+F30+H30</f>
        <v>1012000</v>
      </c>
    </row>
    <row r="25">
      <c r="A25" s="46">
        <v>45874.0</v>
      </c>
      <c r="B25" s="49"/>
      <c r="C25" s="46">
        <v>45881.0</v>
      </c>
      <c r="D25" s="49"/>
      <c r="E25" s="46">
        <v>45888.0</v>
      </c>
      <c r="F25" s="49"/>
      <c r="G25" s="46">
        <v>45895.0</v>
      </c>
      <c r="H25" s="49"/>
    </row>
    <row r="26">
      <c r="A26" s="46">
        <v>45875.0</v>
      </c>
      <c r="B26" s="49"/>
      <c r="C26" s="46">
        <v>45882.0</v>
      </c>
      <c r="D26" s="49"/>
      <c r="E26" s="46">
        <v>45889.0</v>
      </c>
      <c r="F26" s="48"/>
      <c r="G26" s="46">
        <v>45896.0</v>
      </c>
      <c r="H26" s="49"/>
    </row>
    <row r="27">
      <c r="A27" s="46">
        <v>45876.0</v>
      </c>
      <c r="B27" s="49"/>
      <c r="C27" s="46">
        <v>45883.0</v>
      </c>
      <c r="D27" s="49"/>
      <c r="E27" s="46">
        <v>45890.0</v>
      </c>
      <c r="F27" s="49"/>
      <c r="G27" s="46">
        <v>45897.0</v>
      </c>
      <c r="H27" s="49"/>
    </row>
    <row r="28">
      <c r="A28" s="46">
        <v>45877.0</v>
      </c>
      <c r="B28" s="49"/>
      <c r="C28" s="46">
        <v>45884.0</v>
      </c>
      <c r="D28" s="49"/>
      <c r="E28" s="46">
        <v>45891.0</v>
      </c>
      <c r="F28" s="49"/>
      <c r="G28" s="46">
        <v>45898.0</v>
      </c>
      <c r="H28" s="49"/>
    </row>
    <row r="29">
      <c r="A29" s="46">
        <v>45878.0</v>
      </c>
      <c r="B29" s="49"/>
      <c r="C29" s="46">
        <v>45885.0</v>
      </c>
      <c r="D29" s="49"/>
      <c r="E29" s="46">
        <v>45892.0</v>
      </c>
      <c r="F29" s="49"/>
      <c r="G29" s="46">
        <v>45899.0</v>
      </c>
      <c r="H29" s="49"/>
    </row>
    <row r="30">
      <c r="A30" s="43"/>
      <c r="B30" s="50">
        <f>SUM(B24:B29)</f>
        <v>253000</v>
      </c>
      <c r="C30" s="43"/>
      <c r="D30" s="50">
        <f>SUM(D24:D29)</f>
        <v>253000</v>
      </c>
      <c r="E30" s="43"/>
      <c r="F30" s="50">
        <f>SUM(F24:F29)</f>
        <v>253000</v>
      </c>
      <c r="G30" s="43"/>
      <c r="H30" s="50">
        <f>SUM(H24:H29)</f>
        <v>253000</v>
      </c>
      <c r="I30" s="51">
        <v>2.0</v>
      </c>
    </row>
    <row r="31">
      <c r="A31" s="43" t="s">
        <v>39</v>
      </c>
      <c r="B31" s="55"/>
      <c r="C31" s="43" t="s">
        <v>39</v>
      </c>
      <c r="D31" s="55"/>
      <c r="E31" s="43" t="s">
        <v>39</v>
      </c>
      <c r="F31" s="52" t="s">
        <v>44</v>
      </c>
      <c r="G31" s="43" t="s">
        <v>39</v>
      </c>
      <c r="H31" s="52" t="s">
        <v>45</v>
      </c>
      <c r="I31" s="53">
        <v>1.0</v>
      </c>
    </row>
    <row r="32">
      <c r="A32" s="54"/>
      <c r="B32" s="54"/>
      <c r="C32" s="54"/>
      <c r="D32" s="54"/>
      <c r="E32" s="54"/>
      <c r="F32" s="54"/>
      <c r="G32" s="54"/>
      <c r="H32" s="54"/>
      <c r="I32" s="54"/>
    </row>
    <row r="33">
      <c r="A33" s="43" t="s">
        <v>37</v>
      </c>
      <c r="B33" s="43" t="s">
        <v>38</v>
      </c>
      <c r="C33" s="43" t="s">
        <v>37</v>
      </c>
      <c r="D33" s="43" t="s">
        <v>38</v>
      </c>
      <c r="E33" s="43" t="s">
        <v>37</v>
      </c>
      <c r="F33" s="43" t="s">
        <v>38</v>
      </c>
      <c r="G33" s="43" t="s">
        <v>37</v>
      </c>
      <c r="H33" s="43" t="s">
        <v>38</v>
      </c>
      <c r="I33" s="43"/>
    </row>
    <row r="34">
      <c r="A34" s="46">
        <v>45901.0</v>
      </c>
      <c r="B34" s="45">
        <v>253000.0</v>
      </c>
      <c r="C34" s="46">
        <v>45908.0</v>
      </c>
      <c r="D34" s="45">
        <v>253000.0</v>
      </c>
      <c r="E34" s="46">
        <v>45915.0</v>
      </c>
      <c r="F34" s="45">
        <v>253000.0</v>
      </c>
      <c r="G34" s="46">
        <v>45922.0</v>
      </c>
      <c r="H34" s="45">
        <v>253000.0</v>
      </c>
      <c r="I34" s="47">
        <f>B40+D40+F40+H40</f>
        <v>1012000</v>
      </c>
    </row>
    <row r="35">
      <c r="A35" s="46">
        <v>45902.0</v>
      </c>
      <c r="B35" s="49"/>
      <c r="C35" s="46">
        <v>45909.0</v>
      </c>
      <c r="D35" s="49"/>
      <c r="E35" s="46">
        <v>45916.0</v>
      </c>
      <c r="F35" s="49"/>
      <c r="G35" s="46">
        <v>45923.0</v>
      </c>
      <c r="H35" s="49"/>
    </row>
    <row r="36">
      <c r="A36" s="46">
        <v>45903.0</v>
      </c>
      <c r="B36" s="49"/>
      <c r="C36" s="46">
        <v>45910.0</v>
      </c>
      <c r="D36" s="49"/>
      <c r="E36" s="46">
        <v>45917.0</v>
      </c>
      <c r="F36" s="48"/>
      <c r="G36" s="46">
        <v>45924.0</v>
      </c>
      <c r="H36" s="49"/>
    </row>
    <row r="37">
      <c r="A37" s="46">
        <v>45904.0</v>
      </c>
      <c r="B37" s="49"/>
      <c r="C37" s="46">
        <v>45911.0</v>
      </c>
      <c r="D37" s="49"/>
      <c r="E37" s="46">
        <v>45918.0</v>
      </c>
      <c r="F37" s="49"/>
      <c r="G37" s="46">
        <v>45925.0</v>
      </c>
      <c r="H37" s="48"/>
    </row>
    <row r="38">
      <c r="A38" s="46">
        <v>45905.0</v>
      </c>
      <c r="B38" s="49"/>
      <c r="C38" s="46">
        <v>45912.0</v>
      </c>
      <c r="D38" s="49"/>
      <c r="E38" s="46">
        <v>45919.0</v>
      </c>
      <c r="F38" s="49"/>
      <c r="G38" s="46">
        <v>45926.0</v>
      </c>
      <c r="H38" s="49"/>
    </row>
    <row r="39">
      <c r="A39" s="46">
        <v>45906.0</v>
      </c>
      <c r="B39" s="49"/>
      <c r="C39" s="46">
        <v>45913.0</v>
      </c>
      <c r="D39" s="49"/>
      <c r="E39" s="46">
        <v>45920.0</v>
      </c>
      <c r="F39" s="49"/>
      <c r="G39" s="46">
        <v>45927.0</v>
      </c>
      <c r="H39" s="49"/>
    </row>
    <row r="40">
      <c r="A40" s="43"/>
      <c r="B40" s="50">
        <f>SUM(B34:B39)</f>
        <v>253000</v>
      </c>
      <c r="C40" s="43"/>
      <c r="D40" s="50">
        <f>SUM(D34:D39)</f>
        <v>253000</v>
      </c>
      <c r="E40" s="43"/>
      <c r="F40" s="50">
        <f>SUM(F34:F39)</f>
        <v>253000</v>
      </c>
      <c r="G40" s="43"/>
      <c r="H40" s="50">
        <f>SUM(H34:H39)</f>
        <v>253000</v>
      </c>
      <c r="I40" s="51">
        <v>3.0</v>
      </c>
    </row>
    <row r="41">
      <c r="A41" s="43" t="s">
        <v>39</v>
      </c>
      <c r="B41" s="52" t="s">
        <v>46</v>
      </c>
      <c r="C41" s="43" t="s">
        <v>39</v>
      </c>
      <c r="D41" s="52" t="s">
        <v>47</v>
      </c>
      <c r="E41" s="43" t="s">
        <v>39</v>
      </c>
      <c r="F41" s="52" t="s">
        <v>48</v>
      </c>
      <c r="G41" s="43" t="s">
        <v>39</v>
      </c>
      <c r="H41" s="52" t="s">
        <v>49</v>
      </c>
      <c r="I41" s="53">
        <v>1.0</v>
      </c>
    </row>
    <row r="42">
      <c r="A42" s="54"/>
      <c r="B42" s="54"/>
      <c r="C42" s="54"/>
      <c r="D42" s="54"/>
      <c r="E42" s="54"/>
      <c r="F42" s="54"/>
      <c r="G42" s="54"/>
      <c r="H42" s="54"/>
      <c r="I42" s="54"/>
    </row>
    <row r="43">
      <c r="A43" s="43" t="s">
        <v>37</v>
      </c>
      <c r="B43" s="43" t="s">
        <v>38</v>
      </c>
      <c r="C43" s="43" t="s">
        <v>37</v>
      </c>
      <c r="D43" s="43" t="s">
        <v>38</v>
      </c>
      <c r="E43" s="43" t="s">
        <v>37</v>
      </c>
      <c r="F43" s="43" t="s">
        <v>38</v>
      </c>
      <c r="G43" s="43" t="s">
        <v>37</v>
      </c>
      <c r="H43" s="43" t="s">
        <v>38</v>
      </c>
      <c r="I43" s="43"/>
    </row>
    <row r="44">
      <c r="A44" s="46">
        <v>45927.0</v>
      </c>
      <c r="B44" s="45">
        <v>253000.0</v>
      </c>
      <c r="C44" s="46">
        <v>45929.0</v>
      </c>
      <c r="D44" s="45">
        <v>253000.0</v>
      </c>
      <c r="E44" s="46">
        <v>45936.0</v>
      </c>
      <c r="F44" s="45">
        <v>253000.0</v>
      </c>
      <c r="G44" s="46">
        <v>45943.0</v>
      </c>
      <c r="H44" s="45">
        <v>253000.0</v>
      </c>
      <c r="I44" s="47">
        <f>B50+D50+F50+H50</f>
        <v>1012000</v>
      </c>
    </row>
    <row r="45">
      <c r="A45" s="46">
        <v>45928.0</v>
      </c>
      <c r="B45" s="49"/>
      <c r="C45" s="46">
        <v>45930.0</v>
      </c>
      <c r="D45" s="49"/>
      <c r="E45" s="46">
        <v>45937.0</v>
      </c>
      <c r="F45" s="49"/>
      <c r="G45" s="46">
        <v>45944.0</v>
      </c>
      <c r="H45" s="49"/>
    </row>
    <row r="46">
      <c r="A46" s="46">
        <v>45929.0</v>
      </c>
      <c r="B46" s="49"/>
      <c r="C46" s="46">
        <v>45931.0</v>
      </c>
      <c r="D46" s="49"/>
      <c r="E46" s="46">
        <v>45938.0</v>
      </c>
      <c r="F46" s="48"/>
      <c r="G46" s="46">
        <v>45945.0</v>
      </c>
      <c r="H46" s="49"/>
    </row>
    <row r="47">
      <c r="A47" s="46">
        <v>45930.0</v>
      </c>
      <c r="B47" s="49"/>
      <c r="C47" s="46">
        <v>45932.0</v>
      </c>
      <c r="D47" s="49"/>
      <c r="E47" s="46">
        <v>45939.0</v>
      </c>
      <c r="F47" s="49"/>
      <c r="G47" s="46">
        <v>45946.0</v>
      </c>
      <c r="H47" s="49"/>
    </row>
    <row r="48">
      <c r="A48" s="46">
        <v>45931.0</v>
      </c>
      <c r="B48" s="49"/>
      <c r="C48" s="46">
        <v>45933.0</v>
      </c>
      <c r="D48" s="49"/>
      <c r="E48" s="46">
        <v>45940.0</v>
      </c>
      <c r="F48" s="49"/>
      <c r="G48" s="46">
        <v>45947.0</v>
      </c>
      <c r="H48" s="49"/>
    </row>
    <row r="49">
      <c r="A49" s="46">
        <v>45932.0</v>
      </c>
      <c r="B49" s="49"/>
      <c r="C49" s="46">
        <v>45934.0</v>
      </c>
      <c r="D49" s="49"/>
      <c r="E49" s="46">
        <v>45941.0</v>
      </c>
      <c r="F49" s="49"/>
      <c r="G49" s="46">
        <v>45948.0</v>
      </c>
      <c r="H49" s="49"/>
    </row>
    <row r="50">
      <c r="A50" s="43"/>
      <c r="B50" s="50">
        <f>SUM(B44:B49)</f>
        <v>253000</v>
      </c>
      <c r="C50" s="43"/>
      <c r="D50" s="50">
        <f>SUM(D44:D49)</f>
        <v>253000</v>
      </c>
      <c r="E50" s="43"/>
      <c r="F50" s="50">
        <f>SUM(F44:F49)</f>
        <v>253000</v>
      </c>
      <c r="G50" s="43"/>
      <c r="H50" s="50">
        <f>SUM(H44:H49)</f>
        <v>253000</v>
      </c>
      <c r="I50" s="51">
        <v>4.0</v>
      </c>
    </row>
    <row r="51">
      <c r="A51" s="43" t="s">
        <v>39</v>
      </c>
      <c r="B51" s="52" t="s">
        <v>50</v>
      </c>
      <c r="C51" s="43" t="s">
        <v>39</v>
      </c>
      <c r="D51" s="52" t="s">
        <v>51</v>
      </c>
      <c r="E51" s="43" t="s">
        <v>39</v>
      </c>
      <c r="F51" s="52" t="s">
        <v>52</v>
      </c>
      <c r="G51" s="43" t="s">
        <v>39</v>
      </c>
      <c r="H51" s="52" t="s">
        <v>53</v>
      </c>
      <c r="I51" s="53">
        <v>1.0</v>
      </c>
    </row>
    <row r="52">
      <c r="A52" s="54"/>
      <c r="B52" s="54"/>
      <c r="C52" s="54"/>
      <c r="D52" s="54"/>
      <c r="E52" s="54"/>
      <c r="F52" s="54"/>
      <c r="G52" s="54"/>
      <c r="H52" s="54"/>
      <c r="I52" s="54"/>
    </row>
    <row r="53">
      <c r="A53" s="43" t="s">
        <v>37</v>
      </c>
      <c r="B53" s="43" t="s">
        <v>38</v>
      </c>
      <c r="C53" s="43" t="s">
        <v>37</v>
      </c>
      <c r="D53" s="43" t="s">
        <v>38</v>
      </c>
      <c r="E53" s="43" t="s">
        <v>37</v>
      </c>
      <c r="F53" s="43" t="s">
        <v>38</v>
      </c>
      <c r="G53" s="43" t="s">
        <v>37</v>
      </c>
      <c r="H53" s="43" t="s">
        <v>38</v>
      </c>
      <c r="I53" s="54"/>
    </row>
    <row r="54">
      <c r="A54" s="46">
        <v>45950.0</v>
      </c>
      <c r="B54" s="45">
        <v>253000.0</v>
      </c>
      <c r="C54" s="46">
        <v>45957.0</v>
      </c>
      <c r="D54" s="45">
        <v>253000.0</v>
      </c>
      <c r="E54" s="46">
        <v>45964.0</v>
      </c>
      <c r="F54" s="45">
        <v>253000.0</v>
      </c>
      <c r="G54" s="46">
        <v>45971.0</v>
      </c>
      <c r="H54" s="45">
        <v>253000.0</v>
      </c>
      <c r="I54" s="47">
        <f>B60+D60+F60+H60</f>
        <v>1012000</v>
      </c>
    </row>
    <row r="55">
      <c r="A55" s="46">
        <v>45951.0</v>
      </c>
      <c r="B55" s="49"/>
      <c r="C55" s="46">
        <v>45958.0</v>
      </c>
      <c r="D55" s="49"/>
      <c r="E55" s="46">
        <v>45965.0</v>
      </c>
      <c r="F55" s="49"/>
      <c r="G55" s="46">
        <v>45972.0</v>
      </c>
      <c r="H55" s="49"/>
    </row>
    <row r="56">
      <c r="A56" s="46">
        <v>45952.0</v>
      </c>
      <c r="B56" s="49"/>
      <c r="C56" s="46">
        <v>45959.0</v>
      </c>
      <c r="D56" s="49"/>
      <c r="E56" s="46">
        <v>45966.0</v>
      </c>
      <c r="F56" s="48"/>
      <c r="G56" s="46">
        <v>45973.0</v>
      </c>
      <c r="H56" s="49"/>
    </row>
    <row r="57">
      <c r="A57" s="46">
        <v>45953.0</v>
      </c>
      <c r="B57" s="49"/>
      <c r="C57" s="46">
        <v>45960.0</v>
      </c>
      <c r="D57" s="49"/>
      <c r="E57" s="46">
        <v>45967.0</v>
      </c>
      <c r="F57" s="49"/>
      <c r="G57" s="46">
        <v>45974.0</v>
      </c>
      <c r="H57" s="49"/>
    </row>
    <row r="58">
      <c r="A58" s="46">
        <v>45954.0</v>
      </c>
      <c r="B58" s="49"/>
      <c r="C58" s="46">
        <v>45961.0</v>
      </c>
      <c r="D58" s="49"/>
      <c r="E58" s="46">
        <v>45968.0</v>
      </c>
      <c r="F58" s="49"/>
      <c r="G58" s="46">
        <v>45975.0</v>
      </c>
      <c r="H58" s="49"/>
    </row>
    <row r="59">
      <c r="A59" s="46">
        <v>45955.0</v>
      </c>
      <c r="B59" s="49"/>
      <c r="C59" s="46">
        <v>45962.0</v>
      </c>
      <c r="D59" s="49"/>
      <c r="E59" s="46">
        <v>45969.0</v>
      </c>
      <c r="F59" s="49"/>
      <c r="G59" s="46">
        <v>45976.0</v>
      </c>
      <c r="H59" s="49"/>
    </row>
    <row r="60">
      <c r="A60" s="43"/>
      <c r="B60" s="50">
        <f>SUM(B54:B59)</f>
        <v>253000</v>
      </c>
      <c r="C60" s="43"/>
      <c r="D60" s="50">
        <f>SUM(D54:D59)</f>
        <v>253000</v>
      </c>
      <c r="E60" s="43"/>
      <c r="F60" s="50">
        <f>SUM(F54:F59)</f>
        <v>253000</v>
      </c>
      <c r="G60" s="43"/>
      <c r="H60" s="50">
        <f>SUM(H54:H59)</f>
        <v>253000</v>
      </c>
      <c r="I60" s="51">
        <v>5.0</v>
      </c>
    </row>
    <row r="61">
      <c r="A61" s="43" t="s">
        <v>39</v>
      </c>
      <c r="B61" s="56" t="s">
        <v>54</v>
      </c>
      <c r="C61" s="43" t="s">
        <v>39</v>
      </c>
      <c r="D61" s="56" t="s">
        <v>55</v>
      </c>
      <c r="E61" s="43" t="s">
        <v>39</v>
      </c>
      <c r="F61" s="56" t="s">
        <v>56</v>
      </c>
      <c r="G61" s="43" t="s">
        <v>39</v>
      </c>
      <c r="H61" s="56" t="s">
        <v>57</v>
      </c>
      <c r="I61" s="53">
        <v>1.0</v>
      </c>
    </row>
    <row r="62">
      <c r="A62" s="54"/>
      <c r="B62" s="54"/>
      <c r="C62" s="54"/>
      <c r="D62" s="54"/>
      <c r="E62" s="54"/>
      <c r="F62" s="54"/>
      <c r="G62" s="54"/>
      <c r="H62" s="54"/>
      <c r="I62" s="54"/>
    </row>
    <row r="63">
      <c r="A63" s="43" t="s">
        <v>37</v>
      </c>
      <c r="B63" s="43" t="s">
        <v>38</v>
      </c>
      <c r="C63" s="43" t="s">
        <v>37</v>
      </c>
      <c r="D63" s="43" t="s">
        <v>38</v>
      </c>
      <c r="E63" s="43" t="s">
        <v>37</v>
      </c>
      <c r="F63" s="43" t="s">
        <v>38</v>
      </c>
      <c r="G63" s="43" t="s">
        <v>37</v>
      </c>
      <c r="H63" s="43" t="s">
        <v>38</v>
      </c>
      <c r="I63" s="54"/>
    </row>
    <row r="64">
      <c r="A64" s="46">
        <v>45978.0</v>
      </c>
      <c r="B64" s="45">
        <v>253000.0</v>
      </c>
      <c r="C64" s="46">
        <v>45985.0</v>
      </c>
      <c r="D64" s="45">
        <v>253000.0</v>
      </c>
      <c r="E64" s="46">
        <v>45992.0</v>
      </c>
      <c r="F64" s="45">
        <v>253000.0</v>
      </c>
      <c r="G64" s="46">
        <v>45999.0</v>
      </c>
      <c r="H64" s="45">
        <v>253000.0</v>
      </c>
      <c r="I64" s="47">
        <f>B70+D70+F70+H70</f>
        <v>1012000</v>
      </c>
    </row>
    <row r="65">
      <c r="A65" s="46">
        <v>45979.0</v>
      </c>
      <c r="B65" s="49"/>
      <c r="C65" s="46">
        <v>45986.0</v>
      </c>
      <c r="D65" s="49"/>
      <c r="E65" s="46">
        <v>45993.0</v>
      </c>
      <c r="F65" s="49"/>
      <c r="G65" s="46">
        <v>46000.0</v>
      </c>
      <c r="H65" s="49"/>
    </row>
    <row r="66">
      <c r="A66" s="46">
        <v>45980.0</v>
      </c>
      <c r="B66" s="49"/>
      <c r="C66" s="46">
        <v>45987.0</v>
      </c>
      <c r="D66" s="49"/>
      <c r="E66" s="46">
        <v>45994.0</v>
      </c>
      <c r="F66" s="48"/>
      <c r="G66" s="46">
        <v>46001.0</v>
      </c>
      <c r="H66" s="49"/>
    </row>
    <row r="67">
      <c r="A67" s="46">
        <v>45981.0</v>
      </c>
      <c r="B67" s="49"/>
      <c r="C67" s="46">
        <v>45988.0</v>
      </c>
      <c r="D67" s="49"/>
      <c r="E67" s="46">
        <v>45995.0</v>
      </c>
      <c r="F67" s="49"/>
      <c r="G67" s="46">
        <v>46002.0</v>
      </c>
      <c r="H67" s="49"/>
    </row>
    <row r="68">
      <c r="A68" s="46">
        <v>45982.0</v>
      </c>
      <c r="B68" s="49"/>
      <c r="C68" s="46">
        <v>45989.0</v>
      </c>
      <c r="D68" s="49"/>
      <c r="E68" s="46">
        <v>45996.0</v>
      </c>
      <c r="F68" s="49"/>
      <c r="G68" s="46">
        <v>46003.0</v>
      </c>
      <c r="H68" s="49"/>
    </row>
    <row r="69">
      <c r="A69" s="46">
        <v>45983.0</v>
      </c>
      <c r="B69" s="49"/>
      <c r="C69" s="46">
        <v>45990.0</v>
      </c>
      <c r="D69" s="49"/>
      <c r="E69" s="46">
        <v>45997.0</v>
      </c>
      <c r="F69" s="49"/>
      <c r="G69" s="46">
        <v>46004.0</v>
      </c>
      <c r="H69" s="49"/>
    </row>
    <row r="70">
      <c r="A70" s="43"/>
      <c r="B70" s="50">
        <f>SUM(B64:B69)</f>
        <v>253000</v>
      </c>
      <c r="C70" s="43"/>
      <c r="D70" s="50">
        <f>SUM(D64:D69)</f>
        <v>253000</v>
      </c>
      <c r="E70" s="43"/>
      <c r="F70" s="50">
        <f>SUM(F64:F69)</f>
        <v>253000</v>
      </c>
      <c r="G70" s="43"/>
      <c r="H70" s="50">
        <f>SUM(H64:H69)</f>
        <v>253000</v>
      </c>
      <c r="I70" s="51">
        <v>6.0</v>
      </c>
    </row>
    <row r="71">
      <c r="A71" s="43" t="s">
        <v>39</v>
      </c>
      <c r="B71" s="52" t="s">
        <v>58</v>
      </c>
      <c r="C71" s="43" t="s">
        <v>39</v>
      </c>
      <c r="D71" s="52" t="s">
        <v>59</v>
      </c>
      <c r="E71" s="43" t="s">
        <v>39</v>
      </c>
      <c r="F71" s="52" t="s">
        <v>60</v>
      </c>
      <c r="G71" s="43" t="s">
        <v>39</v>
      </c>
      <c r="H71" s="52" t="s">
        <v>61</v>
      </c>
      <c r="I71" s="53">
        <v>1.0</v>
      </c>
    </row>
    <row r="72">
      <c r="A72" s="54"/>
      <c r="B72" s="54"/>
      <c r="C72" s="54"/>
      <c r="D72" s="54"/>
      <c r="E72" s="54"/>
      <c r="F72" s="54"/>
      <c r="G72" s="54"/>
      <c r="H72" s="54"/>
      <c r="I72" s="54"/>
    </row>
    <row r="73">
      <c r="A73" s="43" t="s">
        <v>37</v>
      </c>
      <c r="B73" s="43" t="s">
        <v>38</v>
      </c>
      <c r="C73" s="43" t="s">
        <v>37</v>
      </c>
      <c r="D73" s="43" t="s">
        <v>38</v>
      </c>
      <c r="E73" s="43" t="s">
        <v>37</v>
      </c>
      <c r="F73" s="43" t="s">
        <v>38</v>
      </c>
      <c r="G73" s="43" t="s">
        <v>37</v>
      </c>
      <c r="H73" s="43" t="s">
        <v>38</v>
      </c>
      <c r="I73" s="54"/>
    </row>
    <row r="74">
      <c r="A74" s="46">
        <v>46006.0</v>
      </c>
      <c r="B74" s="45">
        <v>253000.0</v>
      </c>
      <c r="C74" s="46">
        <v>46013.0</v>
      </c>
      <c r="D74" s="45">
        <v>253000.0</v>
      </c>
      <c r="E74" s="46">
        <v>46020.0</v>
      </c>
      <c r="F74" s="45">
        <v>253000.0</v>
      </c>
      <c r="G74" s="46">
        <v>46027.0</v>
      </c>
      <c r="H74" s="45">
        <v>253000.0</v>
      </c>
      <c r="I74" s="47">
        <f>B80+D80+F80+H80</f>
        <v>1012000</v>
      </c>
    </row>
    <row r="75">
      <c r="A75" s="46">
        <v>46007.0</v>
      </c>
      <c r="B75" s="49"/>
      <c r="C75" s="46">
        <v>46014.0</v>
      </c>
      <c r="D75" s="49"/>
      <c r="E75" s="46">
        <v>46021.0</v>
      </c>
      <c r="F75" s="49"/>
      <c r="G75" s="46">
        <v>46028.0</v>
      </c>
      <c r="H75" s="49"/>
    </row>
    <row r="76">
      <c r="A76" s="46">
        <v>46008.0</v>
      </c>
      <c r="B76" s="49"/>
      <c r="C76" s="46">
        <v>46015.0</v>
      </c>
      <c r="D76" s="49"/>
      <c r="E76" s="46">
        <v>46022.0</v>
      </c>
      <c r="F76" s="48"/>
      <c r="G76" s="46">
        <v>46029.0</v>
      </c>
      <c r="H76" s="49"/>
    </row>
    <row r="77">
      <c r="A77" s="46">
        <v>46009.0</v>
      </c>
      <c r="B77" s="49"/>
      <c r="C77" s="46">
        <v>46016.0</v>
      </c>
      <c r="D77" s="49"/>
      <c r="E77" s="46">
        <v>46023.0</v>
      </c>
      <c r="F77" s="49"/>
      <c r="G77" s="46">
        <v>46030.0</v>
      </c>
      <c r="H77" s="49"/>
    </row>
    <row r="78">
      <c r="A78" s="46">
        <v>46010.0</v>
      </c>
      <c r="B78" s="49"/>
      <c r="C78" s="46">
        <v>46017.0</v>
      </c>
      <c r="D78" s="49"/>
      <c r="E78" s="46">
        <v>46024.0</v>
      </c>
      <c r="F78" s="49"/>
      <c r="G78" s="46">
        <v>46031.0</v>
      </c>
      <c r="H78" s="49"/>
    </row>
    <row r="79">
      <c r="A79" s="46">
        <v>46011.0</v>
      </c>
      <c r="B79" s="49"/>
      <c r="C79" s="46">
        <v>46018.0</v>
      </c>
      <c r="D79" s="49"/>
      <c r="E79" s="46">
        <v>46025.0</v>
      </c>
      <c r="F79" s="49"/>
      <c r="G79" s="46">
        <v>46032.0</v>
      </c>
      <c r="H79" s="49"/>
    </row>
    <row r="80">
      <c r="A80" s="43"/>
      <c r="B80" s="50">
        <f>SUM(B74:B79)</f>
        <v>253000</v>
      </c>
      <c r="C80" s="43"/>
      <c r="D80" s="50">
        <f>SUM(D74:D79)</f>
        <v>253000</v>
      </c>
      <c r="E80" s="43"/>
      <c r="F80" s="50">
        <f>SUM(F74:F79)</f>
        <v>253000</v>
      </c>
      <c r="G80" s="43"/>
      <c r="H80" s="50">
        <f>SUM(H74:H79)</f>
        <v>253000</v>
      </c>
      <c r="I80" s="51">
        <v>7.0</v>
      </c>
    </row>
    <row r="81">
      <c r="A81" s="43" t="s">
        <v>39</v>
      </c>
      <c r="B81" s="52" t="s">
        <v>62</v>
      </c>
      <c r="C81" s="43" t="s">
        <v>39</v>
      </c>
      <c r="D81" s="52" t="s">
        <v>63</v>
      </c>
      <c r="E81" s="43" t="s">
        <v>39</v>
      </c>
      <c r="F81" s="52" t="s">
        <v>64</v>
      </c>
      <c r="G81" s="43" t="s">
        <v>39</v>
      </c>
      <c r="H81" s="57"/>
      <c r="I81" s="53">
        <v>1.0</v>
      </c>
    </row>
    <row r="82">
      <c r="A82" s="54"/>
      <c r="B82" s="54"/>
      <c r="C82" s="54"/>
      <c r="D82" s="54"/>
      <c r="E82" s="54"/>
      <c r="F82" s="54"/>
      <c r="G82" s="54"/>
      <c r="H82" s="54"/>
      <c r="I82" s="54"/>
    </row>
    <row r="83">
      <c r="A83" s="43" t="s">
        <v>37</v>
      </c>
      <c r="B83" s="43" t="s">
        <v>38</v>
      </c>
      <c r="C83" s="43" t="s">
        <v>37</v>
      </c>
      <c r="D83" s="43" t="s">
        <v>38</v>
      </c>
      <c r="E83" s="43" t="s">
        <v>37</v>
      </c>
      <c r="F83" s="43" t="s">
        <v>38</v>
      </c>
      <c r="G83" s="43" t="s">
        <v>37</v>
      </c>
      <c r="H83" s="43" t="s">
        <v>38</v>
      </c>
      <c r="I83" s="54"/>
    </row>
    <row r="84">
      <c r="A84" s="46">
        <v>46034.0</v>
      </c>
      <c r="B84" s="45">
        <v>253000.0</v>
      </c>
      <c r="C84" s="46">
        <v>46041.0</v>
      </c>
      <c r="D84" s="45">
        <v>253000.0</v>
      </c>
      <c r="E84" s="46">
        <v>46048.0</v>
      </c>
      <c r="F84" s="45">
        <v>253000.0</v>
      </c>
      <c r="G84" s="46">
        <v>46055.0</v>
      </c>
      <c r="H84" s="45">
        <v>253000.0</v>
      </c>
      <c r="I84" s="47">
        <f>B90+D90+F90+H90</f>
        <v>1012000</v>
      </c>
    </row>
    <row r="85">
      <c r="A85" s="46">
        <v>46035.0</v>
      </c>
      <c r="B85" s="49"/>
      <c r="C85" s="46">
        <v>46042.0</v>
      </c>
      <c r="D85" s="49"/>
      <c r="E85" s="46">
        <v>46049.0</v>
      </c>
      <c r="F85" s="49"/>
      <c r="G85" s="46">
        <v>46056.0</v>
      </c>
      <c r="H85" s="49"/>
    </row>
    <row r="86">
      <c r="A86" s="46">
        <v>46036.0</v>
      </c>
      <c r="B86" s="49"/>
      <c r="C86" s="46">
        <v>46043.0</v>
      </c>
      <c r="D86" s="49"/>
      <c r="E86" s="46">
        <v>46050.0</v>
      </c>
      <c r="F86" s="48"/>
      <c r="G86" s="46">
        <v>46057.0</v>
      </c>
      <c r="H86" s="49"/>
    </row>
    <row r="87">
      <c r="A87" s="46">
        <v>46037.0</v>
      </c>
      <c r="B87" s="48"/>
      <c r="C87" s="46">
        <v>46044.0</v>
      </c>
      <c r="D87" s="49"/>
      <c r="E87" s="46">
        <v>46051.0</v>
      </c>
      <c r="F87" s="49"/>
      <c r="G87" s="46">
        <v>46058.0</v>
      </c>
      <c r="H87" s="49"/>
    </row>
    <row r="88">
      <c r="A88" s="46">
        <v>46038.0</v>
      </c>
      <c r="B88" s="48"/>
      <c r="C88" s="46">
        <v>46045.0</v>
      </c>
      <c r="D88" s="49"/>
      <c r="E88" s="46">
        <v>46052.0</v>
      </c>
      <c r="F88" s="49"/>
      <c r="G88" s="46">
        <v>46059.0</v>
      </c>
      <c r="H88" s="49"/>
    </row>
    <row r="89">
      <c r="A89" s="46">
        <v>46039.0</v>
      </c>
      <c r="B89" s="49"/>
      <c r="C89" s="46">
        <v>46046.0</v>
      </c>
      <c r="D89" s="49"/>
      <c r="E89" s="46">
        <v>46053.0</v>
      </c>
      <c r="F89" s="49"/>
      <c r="G89" s="46">
        <v>46060.0</v>
      </c>
      <c r="H89" s="49"/>
    </row>
    <row r="90">
      <c r="A90" s="43"/>
      <c r="B90" s="50">
        <f>B84+B85+B86+B87+B88+B89</f>
        <v>253000</v>
      </c>
      <c r="C90" s="43"/>
      <c r="D90" s="50">
        <f>D84+D85+D86+D87+D88+D89</f>
        <v>253000</v>
      </c>
      <c r="E90" s="43"/>
      <c r="F90" s="50">
        <f>F84+F85+F86+F87+F88+F89</f>
        <v>253000</v>
      </c>
      <c r="G90" s="43"/>
      <c r="H90" s="50">
        <f>H84+H85+H86+H87+H88+H89</f>
        <v>253000</v>
      </c>
      <c r="I90" s="51">
        <v>8.0</v>
      </c>
    </row>
    <row r="91">
      <c r="A91" s="43"/>
      <c r="B91" s="52"/>
      <c r="C91" s="43"/>
      <c r="D91" s="52"/>
      <c r="E91" s="43"/>
      <c r="F91" s="52"/>
      <c r="G91" s="43"/>
      <c r="H91" s="57"/>
      <c r="I91" s="58">
        <v>1.0</v>
      </c>
    </row>
    <row r="92">
      <c r="A92" s="54"/>
      <c r="B92" s="54"/>
      <c r="C92" s="54"/>
      <c r="D92" s="54"/>
      <c r="E92" s="54"/>
      <c r="F92" s="54"/>
      <c r="G92" s="54"/>
      <c r="H92" s="54"/>
      <c r="I92" s="54"/>
    </row>
    <row r="93">
      <c r="A93" s="43" t="s">
        <v>37</v>
      </c>
      <c r="B93" s="43" t="s">
        <v>38</v>
      </c>
      <c r="C93" s="43" t="s">
        <v>37</v>
      </c>
      <c r="D93" s="43" t="s">
        <v>38</v>
      </c>
      <c r="E93" s="43" t="s">
        <v>37</v>
      </c>
      <c r="F93" s="43" t="s">
        <v>38</v>
      </c>
      <c r="G93" s="43" t="s">
        <v>37</v>
      </c>
      <c r="H93" s="43" t="s">
        <v>38</v>
      </c>
      <c r="I93" s="54"/>
    </row>
    <row r="94">
      <c r="A94" s="46">
        <v>46062.0</v>
      </c>
      <c r="B94" s="45">
        <v>253000.0</v>
      </c>
      <c r="C94" s="46">
        <v>46069.0</v>
      </c>
      <c r="D94" s="45">
        <v>253000.0</v>
      </c>
      <c r="E94" s="46">
        <v>46076.0</v>
      </c>
      <c r="F94" s="45">
        <v>253000.0</v>
      </c>
      <c r="G94" s="46">
        <v>46083.0</v>
      </c>
      <c r="H94" s="45">
        <v>253000.0</v>
      </c>
      <c r="I94" s="47">
        <f>B100+D100+F100+H100</f>
        <v>1012000</v>
      </c>
    </row>
    <row r="95">
      <c r="A95" s="46">
        <v>46063.0</v>
      </c>
      <c r="B95" s="49"/>
      <c r="C95" s="46">
        <v>46070.0</v>
      </c>
      <c r="D95" s="49"/>
      <c r="E95" s="46">
        <v>46077.0</v>
      </c>
      <c r="F95" s="49"/>
      <c r="G95" s="46">
        <v>46084.0</v>
      </c>
      <c r="H95" s="49"/>
    </row>
    <row r="96">
      <c r="A96" s="46">
        <v>46064.0</v>
      </c>
      <c r="B96" s="49"/>
      <c r="C96" s="46">
        <v>46071.0</v>
      </c>
      <c r="D96" s="49"/>
      <c r="E96" s="46">
        <v>46078.0</v>
      </c>
      <c r="F96" s="48"/>
      <c r="G96" s="46">
        <v>46085.0</v>
      </c>
      <c r="H96" s="48"/>
    </row>
    <row r="97">
      <c r="A97" s="46">
        <v>46065.0</v>
      </c>
      <c r="B97" s="48"/>
      <c r="C97" s="46">
        <v>46072.0</v>
      </c>
      <c r="D97" s="49"/>
      <c r="E97" s="46">
        <v>46079.0</v>
      </c>
      <c r="F97" s="49"/>
      <c r="G97" s="46">
        <v>46086.0</v>
      </c>
      <c r="H97" s="49"/>
    </row>
    <row r="98">
      <c r="A98" s="46">
        <v>46066.0</v>
      </c>
      <c r="B98" s="48"/>
      <c r="C98" s="46">
        <v>46073.0</v>
      </c>
      <c r="D98" s="49"/>
      <c r="E98" s="46">
        <v>46080.0</v>
      </c>
      <c r="F98" s="49"/>
      <c r="G98" s="46">
        <v>46087.0</v>
      </c>
      <c r="H98" s="49"/>
    </row>
    <row r="99">
      <c r="A99" s="46">
        <v>46067.0</v>
      </c>
      <c r="B99" s="49"/>
      <c r="C99" s="46">
        <v>46074.0</v>
      </c>
      <c r="D99" s="49"/>
      <c r="E99" s="46">
        <v>46081.0</v>
      </c>
      <c r="F99" s="49"/>
      <c r="G99" s="46">
        <v>46088.0</v>
      </c>
      <c r="H99" s="49"/>
    </row>
    <row r="100">
      <c r="A100" s="43"/>
      <c r="B100" s="50">
        <f>B94+B95+B96+B97+B98+B99</f>
        <v>253000</v>
      </c>
      <c r="C100" s="43"/>
      <c r="D100" s="50">
        <f>D94+D95+D96+D97+D98+D99</f>
        <v>253000</v>
      </c>
      <c r="E100" s="43"/>
      <c r="F100" s="50">
        <f>F94+F95+F96+F97+F98+F99</f>
        <v>253000</v>
      </c>
      <c r="G100" s="43"/>
      <c r="H100" s="50">
        <f>H94+H95+H96+H97+H98+H99</f>
        <v>253000</v>
      </c>
      <c r="I100" s="51">
        <v>9.0</v>
      </c>
    </row>
    <row r="101">
      <c r="A101" s="43"/>
      <c r="B101" s="52"/>
      <c r="C101" s="43"/>
      <c r="D101" s="52"/>
      <c r="E101" s="43"/>
      <c r="F101" s="52"/>
      <c r="G101" s="43"/>
      <c r="H101" s="57"/>
      <c r="I101" s="58">
        <v>1.0</v>
      </c>
    </row>
    <row r="102">
      <c r="A102" s="54"/>
      <c r="B102" s="54"/>
      <c r="C102" s="54"/>
      <c r="D102" s="54"/>
      <c r="E102" s="54"/>
      <c r="F102" s="54"/>
      <c r="G102" s="54"/>
      <c r="H102" s="54"/>
      <c r="I102" s="54"/>
    </row>
    <row r="103">
      <c r="A103" s="43" t="s">
        <v>37</v>
      </c>
      <c r="B103" s="43" t="s">
        <v>38</v>
      </c>
      <c r="C103" s="43" t="s">
        <v>37</v>
      </c>
      <c r="D103" s="43" t="s">
        <v>38</v>
      </c>
      <c r="E103" s="43" t="s">
        <v>37</v>
      </c>
      <c r="F103" s="43" t="s">
        <v>38</v>
      </c>
      <c r="G103" s="43" t="s">
        <v>37</v>
      </c>
      <c r="H103" s="43" t="s">
        <v>38</v>
      </c>
      <c r="I103" s="54"/>
    </row>
    <row r="104">
      <c r="A104" s="46">
        <v>46090.0</v>
      </c>
      <c r="B104" s="45">
        <v>253000.0</v>
      </c>
      <c r="C104" s="46">
        <v>46097.0</v>
      </c>
      <c r="D104" s="45">
        <v>253000.0</v>
      </c>
      <c r="E104" s="46">
        <v>46104.0</v>
      </c>
      <c r="F104" s="45">
        <v>253000.0</v>
      </c>
      <c r="G104" s="46">
        <v>46111.0</v>
      </c>
      <c r="H104" s="45">
        <v>211000.0</v>
      </c>
      <c r="I104" s="47">
        <f>B110+D110+F110+H110</f>
        <v>970000</v>
      </c>
    </row>
    <row r="105">
      <c r="A105" s="46">
        <v>46091.0</v>
      </c>
      <c r="B105" s="49"/>
      <c r="C105" s="46">
        <v>46098.0</v>
      </c>
      <c r="D105" s="59"/>
      <c r="E105" s="46">
        <v>46105.0</v>
      </c>
      <c r="F105" s="59"/>
      <c r="G105" s="46">
        <v>46112.0</v>
      </c>
      <c r="H105" s="45"/>
    </row>
    <row r="106">
      <c r="A106" s="46">
        <v>46092.0</v>
      </c>
      <c r="B106" s="49"/>
      <c r="C106" s="46">
        <v>46099.0</v>
      </c>
      <c r="D106" s="59"/>
      <c r="E106" s="46">
        <v>46106.0</v>
      </c>
      <c r="F106" s="59"/>
      <c r="G106" s="46">
        <v>46113.0</v>
      </c>
      <c r="H106" s="49"/>
    </row>
    <row r="107">
      <c r="A107" s="46">
        <v>46093.0</v>
      </c>
      <c r="B107" s="49"/>
      <c r="C107" s="46">
        <v>46100.0</v>
      </c>
      <c r="D107" s="59"/>
      <c r="E107" s="46">
        <v>46107.0</v>
      </c>
      <c r="F107" s="59"/>
      <c r="G107" s="46">
        <v>46114.0</v>
      </c>
      <c r="H107" s="49"/>
    </row>
    <row r="108">
      <c r="A108" s="46">
        <v>46094.0</v>
      </c>
      <c r="B108" s="49"/>
      <c r="C108" s="46">
        <v>46101.0</v>
      </c>
      <c r="D108" s="59"/>
      <c r="E108" s="46">
        <v>46108.0</v>
      </c>
      <c r="F108" s="59"/>
      <c r="G108" s="46">
        <v>46115.0</v>
      </c>
      <c r="H108" s="49"/>
    </row>
    <row r="109">
      <c r="A109" s="46">
        <v>46095.0</v>
      </c>
      <c r="B109" s="49"/>
      <c r="C109" s="46">
        <v>46102.0</v>
      </c>
      <c r="D109" s="59"/>
      <c r="E109" s="46">
        <v>46109.0</v>
      </c>
      <c r="F109" s="59"/>
      <c r="G109" s="46">
        <v>46116.0</v>
      </c>
      <c r="H109" s="49"/>
    </row>
    <row r="110">
      <c r="A110" s="43"/>
      <c r="B110" s="50">
        <f>B104+B105+B106+B107+B108+B109</f>
        <v>253000</v>
      </c>
      <c r="C110" s="43"/>
      <c r="D110" s="50">
        <f>D104+D105+D106+D107+D108+D109</f>
        <v>253000</v>
      </c>
      <c r="E110" s="43"/>
      <c r="F110" s="50">
        <f>F104+F105+F106+F107+F108+F109</f>
        <v>253000</v>
      </c>
      <c r="G110" s="43"/>
      <c r="H110" s="50">
        <f>H104+H105+H106+H107+H108+H109</f>
        <v>211000</v>
      </c>
      <c r="I110" s="51">
        <v>10.0</v>
      </c>
    </row>
    <row r="111">
      <c r="A111" s="43"/>
      <c r="B111" s="52"/>
      <c r="C111" s="43"/>
      <c r="D111" s="52"/>
      <c r="E111" s="43"/>
      <c r="F111" s="52"/>
      <c r="G111" s="43"/>
      <c r="H111" s="57"/>
      <c r="I111" s="58">
        <v>1.0</v>
      </c>
    </row>
    <row r="112">
      <c r="A112" s="54"/>
      <c r="B112" s="54"/>
      <c r="C112" s="54"/>
      <c r="D112" s="54"/>
      <c r="E112" s="54"/>
      <c r="F112" s="54"/>
      <c r="G112" s="54"/>
      <c r="H112" s="54"/>
      <c r="I112" s="54"/>
    </row>
    <row r="113">
      <c r="A113" s="43" t="s">
        <v>37</v>
      </c>
      <c r="B113" s="43" t="s">
        <v>38</v>
      </c>
      <c r="C113" s="43" t="s">
        <v>37</v>
      </c>
      <c r="D113" s="43" t="s">
        <v>38</v>
      </c>
      <c r="E113" s="43" t="s">
        <v>37</v>
      </c>
      <c r="F113" s="43" t="s">
        <v>38</v>
      </c>
      <c r="G113" s="43" t="s">
        <v>37</v>
      </c>
      <c r="H113" s="43" t="s">
        <v>38</v>
      </c>
      <c r="I113" s="54"/>
    </row>
    <row r="114">
      <c r="A114" s="46">
        <v>46118.0</v>
      </c>
      <c r="B114" s="45">
        <v>253000.0</v>
      </c>
      <c r="C114" s="46">
        <v>46125.0</v>
      </c>
      <c r="D114" s="45">
        <v>253000.0</v>
      </c>
      <c r="E114" s="46">
        <v>46132.0</v>
      </c>
      <c r="F114" s="45">
        <v>253000.0</v>
      </c>
      <c r="G114" s="46">
        <v>46139.0</v>
      </c>
      <c r="H114" s="45">
        <v>253000.0</v>
      </c>
      <c r="I114" s="47">
        <f>B120+D120+F120+H120</f>
        <v>1012000</v>
      </c>
    </row>
    <row r="115">
      <c r="A115" s="46">
        <v>46119.0</v>
      </c>
      <c r="B115" s="49"/>
      <c r="C115" s="46">
        <v>46126.0</v>
      </c>
      <c r="D115" s="59"/>
      <c r="E115" s="46">
        <v>46133.0</v>
      </c>
      <c r="F115" s="59"/>
      <c r="G115" s="46">
        <v>46140.0</v>
      </c>
      <c r="H115" s="48"/>
    </row>
    <row r="116">
      <c r="A116" s="46">
        <v>46120.0</v>
      </c>
      <c r="B116" s="49"/>
      <c r="C116" s="46">
        <v>46127.0</v>
      </c>
      <c r="D116" s="59"/>
      <c r="E116" s="46">
        <v>46134.0</v>
      </c>
      <c r="F116" s="59"/>
      <c r="G116" s="46">
        <v>46141.0</v>
      </c>
      <c r="H116" s="49"/>
    </row>
    <row r="117">
      <c r="A117" s="46">
        <v>46121.0</v>
      </c>
      <c r="B117" s="49"/>
      <c r="C117" s="46">
        <v>46128.0</v>
      </c>
      <c r="D117" s="59"/>
      <c r="E117" s="46">
        <v>46135.0</v>
      </c>
      <c r="F117" s="59"/>
      <c r="G117" s="46">
        <v>46142.0</v>
      </c>
      <c r="H117" s="49"/>
    </row>
    <row r="118">
      <c r="A118" s="46">
        <v>46122.0</v>
      </c>
      <c r="B118" s="49"/>
      <c r="C118" s="46">
        <v>46129.0</v>
      </c>
      <c r="D118" s="59"/>
      <c r="E118" s="46">
        <v>46136.0</v>
      </c>
      <c r="F118" s="59"/>
      <c r="G118" s="46">
        <v>46143.0</v>
      </c>
      <c r="H118" s="49"/>
    </row>
    <row r="119">
      <c r="A119" s="46">
        <v>46123.0</v>
      </c>
      <c r="B119" s="49"/>
      <c r="C119" s="46">
        <v>46130.0</v>
      </c>
      <c r="D119" s="59"/>
      <c r="E119" s="46">
        <v>46137.0</v>
      </c>
      <c r="F119" s="59"/>
      <c r="G119" s="46">
        <v>46144.0</v>
      </c>
      <c r="H119" s="49"/>
    </row>
    <row r="120">
      <c r="A120" s="43"/>
      <c r="B120" s="50">
        <f>B114+B115+B116+B117+B118+B119</f>
        <v>253000</v>
      </c>
      <c r="C120" s="43"/>
      <c r="D120" s="50">
        <f>D114+D115+D116+D117+D118+D119</f>
        <v>253000</v>
      </c>
      <c r="E120" s="43"/>
      <c r="F120" s="50">
        <f>F114+F115+F116+F117+F118+F119</f>
        <v>253000</v>
      </c>
      <c r="G120" s="43"/>
      <c r="H120" s="50">
        <f>H114+H115+H116+H117+H118+H119</f>
        <v>253000</v>
      </c>
      <c r="I120" s="51">
        <v>11.0</v>
      </c>
    </row>
    <row r="121">
      <c r="A121" s="43"/>
      <c r="B121" s="52"/>
      <c r="C121" s="43"/>
      <c r="D121" s="52"/>
      <c r="E121" s="43"/>
      <c r="F121" s="52"/>
      <c r="G121" s="43"/>
      <c r="H121" s="57"/>
      <c r="I121" s="58">
        <v>1.0</v>
      </c>
    </row>
    <row r="122">
      <c r="A122" s="54"/>
      <c r="B122" s="54"/>
      <c r="C122" s="54"/>
      <c r="D122" s="54"/>
      <c r="E122" s="54"/>
      <c r="F122" s="54"/>
      <c r="G122" s="54"/>
      <c r="H122" s="54"/>
      <c r="I122" s="54"/>
    </row>
    <row r="123">
      <c r="A123" s="43" t="s">
        <v>37</v>
      </c>
      <c r="B123" s="43" t="s">
        <v>38</v>
      </c>
      <c r="C123" s="43" t="s">
        <v>37</v>
      </c>
      <c r="D123" s="43" t="s">
        <v>38</v>
      </c>
      <c r="E123" s="43" t="s">
        <v>37</v>
      </c>
      <c r="F123" s="43" t="s">
        <v>38</v>
      </c>
      <c r="G123" s="43" t="s">
        <v>37</v>
      </c>
      <c r="H123" s="43" t="s">
        <v>38</v>
      </c>
      <c r="I123" s="54"/>
    </row>
    <row r="124">
      <c r="A124" s="46">
        <v>46146.0</v>
      </c>
      <c r="B124" s="45">
        <v>253000.0</v>
      </c>
      <c r="C124" s="46">
        <v>46153.0</v>
      </c>
      <c r="D124" s="45">
        <v>253000.0</v>
      </c>
      <c r="E124" s="46">
        <v>46160.0</v>
      </c>
      <c r="F124" s="45">
        <v>253000.0</v>
      </c>
      <c r="G124" s="46">
        <v>46167.0</v>
      </c>
      <c r="H124" s="48"/>
      <c r="I124" s="47">
        <f>B130+D130+F130+H130</f>
        <v>759000</v>
      </c>
    </row>
    <row r="125">
      <c r="A125" s="46">
        <v>46147.0</v>
      </c>
      <c r="B125" s="49"/>
      <c r="C125" s="46">
        <v>46154.0</v>
      </c>
      <c r="D125" s="59"/>
      <c r="E125" s="46">
        <v>46161.0</v>
      </c>
      <c r="F125" s="59"/>
      <c r="G125" s="46">
        <v>46168.0</v>
      </c>
      <c r="H125" s="48"/>
    </row>
    <row r="126">
      <c r="A126" s="46">
        <v>46148.0</v>
      </c>
      <c r="B126" s="49"/>
      <c r="C126" s="46">
        <v>46155.0</v>
      </c>
      <c r="D126" s="59"/>
      <c r="E126" s="46">
        <v>46162.0</v>
      </c>
      <c r="F126" s="59"/>
      <c r="G126" s="46">
        <v>46169.0</v>
      </c>
      <c r="H126" s="49"/>
    </row>
    <row r="127">
      <c r="A127" s="46">
        <v>46149.0</v>
      </c>
      <c r="B127" s="49"/>
      <c r="C127" s="46">
        <v>46156.0</v>
      </c>
      <c r="D127" s="59"/>
      <c r="E127" s="46">
        <v>46163.0</v>
      </c>
      <c r="F127" s="59"/>
      <c r="G127" s="46">
        <v>46170.0</v>
      </c>
      <c r="H127" s="49"/>
    </row>
    <row r="128">
      <c r="A128" s="46">
        <v>46150.0</v>
      </c>
      <c r="B128" s="49"/>
      <c r="C128" s="46">
        <v>46157.0</v>
      </c>
      <c r="D128" s="59"/>
      <c r="E128" s="46">
        <v>46164.0</v>
      </c>
      <c r="F128" s="59"/>
      <c r="G128" s="46">
        <v>46171.0</v>
      </c>
      <c r="H128" s="49"/>
    </row>
    <row r="129">
      <c r="A129" s="46">
        <v>46151.0</v>
      </c>
      <c r="B129" s="49"/>
      <c r="C129" s="46">
        <v>46158.0</v>
      </c>
      <c r="D129" s="59"/>
      <c r="E129" s="46">
        <v>46165.0</v>
      </c>
      <c r="F129" s="59"/>
      <c r="G129" s="46">
        <v>46172.0</v>
      </c>
      <c r="H129" s="49"/>
    </row>
    <row r="130">
      <c r="A130" s="43"/>
      <c r="B130" s="50">
        <f>B124+B125+B126+B127+B128+B129</f>
        <v>253000</v>
      </c>
      <c r="C130" s="43"/>
      <c r="D130" s="50">
        <f>D124+D125+D126+D127+D128+D129</f>
        <v>253000</v>
      </c>
      <c r="E130" s="43"/>
      <c r="F130" s="50">
        <f>F124+F125+F126+F127+F128+F129</f>
        <v>253000</v>
      </c>
      <c r="G130" s="43"/>
      <c r="H130" s="50">
        <f>H124+H125+H126+H127+H128+H129</f>
        <v>0</v>
      </c>
      <c r="I130" s="51">
        <v>12.0</v>
      </c>
    </row>
    <row r="131">
      <c r="A131" s="43"/>
      <c r="B131" s="52"/>
      <c r="C131" s="43"/>
      <c r="D131" s="52"/>
      <c r="E131" s="43"/>
      <c r="F131" s="52"/>
      <c r="G131" s="43"/>
      <c r="H131" s="57"/>
      <c r="I131" s="58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</row>
  </sheetData>
  <mergeCells count="24">
    <mergeCell ref="C10:D11"/>
    <mergeCell ref="A12:D12"/>
    <mergeCell ref="I1:I12"/>
    <mergeCell ref="A9:B9"/>
    <mergeCell ref="C9:D9"/>
    <mergeCell ref="E9:F9"/>
    <mergeCell ref="H9:H10"/>
    <mergeCell ref="A10:B11"/>
    <mergeCell ref="H11:H12"/>
    <mergeCell ref="E12:G12"/>
    <mergeCell ref="I64:I69"/>
    <mergeCell ref="I74:I79"/>
    <mergeCell ref="I84:I89"/>
    <mergeCell ref="I94:I99"/>
    <mergeCell ref="I104:I109"/>
    <mergeCell ref="I114:I119"/>
    <mergeCell ref="I124:I129"/>
    <mergeCell ref="E10:F11"/>
    <mergeCell ref="G10:G11"/>
    <mergeCell ref="I14:I19"/>
    <mergeCell ref="I24:I29"/>
    <mergeCell ref="I34:I39"/>
    <mergeCell ref="I44:I49"/>
    <mergeCell ref="I54:I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45.25"/>
    <col customWidth="1" min="4" max="4" width="18.38"/>
    <col customWidth="1" min="5" max="5" width="22.88"/>
  </cols>
  <sheetData>
    <row r="1" ht="27.75" customHeight="1">
      <c r="A1" s="60" t="s">
        <v>65</v>
      </c>
      <c r="B1" s="61"/>
      <c r="C1" s="61"/>
      <c r="D1" s="61"/>
      <c r="E1" s="62"/>
    </row>
    <row r="2">
      <c r="A2" s="63"/>
      <c r="E2" s="64"/>
    </row>
    <row r="3">
      <c r="A3" s="65"/>
      <c r="B3" s="66"/>
      <c r="C3" s="66"/>
      <c r="D3" s="66"/>
      <c r="E3" s="67"/>
    </row>
    <row r="4">
      <c r="A4" s="68"/>
      <c r="B4" s="68"/>
      <c r="C4" s="69"/>
      <c r="D4" s="68"/>
      <c r="E4" s="68"/>
    </row>
    <row r="5" ht="21.0" customHeight="1">
      <c r="A5" s="70" t="s">
        <v>66</v>
      </c>
      <c r="B5" s="62"/>
      <c r="C5" s="71" t="str">
        <f>DATA!B4</f>
        <v>NOMBRE Y APELLIDO </v>
      </c>
      <c r="D5" s="71" t="str">
        <f>DATA!C4</f>
        <v>CEDULA </v>
      </c>
      <c r="E5" s="71" t="str">
        <f>DATA!D4</f>
        <v>N/CONTACTO</v>
      </c>
    </row>
    <row r="6" ht="25.5" customHeight="1">
      <c r="A6" s="63"/>
      <c r="B6" s="64"/>
      <c r="C6" s="72" t="str">
        <f>DATA!B5</f>
        <v>KEIFER ANTONIO GONZALEZ GARCIA</v>
      </c>
      <c r="D6" s="73">
        <f>DATA!C5</f>
        <v>1047520588</v>
      </c>
      <c r="E6" s="74">
        <f>DATA!D5</f>
        <v>3116358471</v>
      </c>
    </row>
    <row r="7" ht="26.25" customHeight="1">
      <c r="A7" s="63"/>
      <c r="B7" s="64"/>
      <c r="C7" s="75" t="str">
        <f>DATA!A5</f>
        <v>MOVIL 31</v>
      </c>
      <c r="D7" s="76"/>
      <c r="E7" s="62"/>
    </row>
    <row r="8">
      <c r="A8" s="63"/>
      <c r="B8" s="64"/>
      <c r="C8" s="77"/>
      <c r="D8" s="65"/>
      <c r="E8" s="67"/>
    </row>
    <row r="9">
      <c r="A9" s="63"/>
      <c r="B9" s="64"/>
      <c r="C9" s="78" t="str">
        <f>PAGOS!A9</f>
        <v>SALDO ACTUAL PAGADO</v>
      </c>
      <c r="D9" s="79" t="str">
        <f>PAGOS!C9</f>
        <v>DEUDA  A PAGAR</v>
      </c>
      <c r="E9" s="62"/>
    </row>
    <row r="10">
      <c r="A10" s="63"/>
      <c r="B10" s="64"/>
      <c r="C10" s="80"/>
      <c r="D10" s="63"/>
      <c r="E10" s="64"/>
    </row>
    <row r="11">
      <c r="A11" s="65"/>
      <c r="B11" s="67"/>
      <c r="C11" s="77"/>
      <c r="D11" s="65"/>
      <c r="E11" s="67"/>
    </row>
    <row r="12">
      <c r="A12" s="81"/>
      <c r="B12" s="81"/>
      <c r="C12" s="82">
        <f>PAGOS!A10</f>
        <v>11849000</v>
      </c>
      <c r="D12" s="83">
        <f>PAGOS!C10</f>
        <v>14446500</v>
      </c>
      <c r="E12" s="84"/>
    </row>
    <row r="13">
      <c r="A13" s="85" t="s">
        <v>67</v>
      </c>
      <c r="B13" s="84"/>
      <c r="C13" s="86" t="str">
        <f>PAGOS!H9</f>
        <v>MESES</v>
      </c>
      <c r="D13" s="87" t="s">
        <v>68</v>
      </c>
      <c r="E13" s="84"/>
    </row>
    <row r="14">
      <c r="A14" s="88">
        <f>PAGOS!D5</f>
        <v>26</v>
      </c>
      <c r="B14" s="84"/>
      <c r="C14" s="89">
        <f>PAGOS!H11</f>
        <v>11</v>
      </c>
      <c r="D14" s="90">
        <f>PAGOS!D5-PAGOS!H11</f>
        <v>15</v>
      </c>
      <c r="E14" s="84"/>
    </row>
    <row r="15">
      <c r="A15" s="91" t="s">
        <v>0</v>
      </c>
      <c r="B15" s="91" t="s">
        <v>1</v>
      </c>
      <c r="C15" s="91" t="s">
        <v>2</v>
      </c>
      <c r="D15" s="91" t="s">
        <v>3</v>
      </c>
      <c r="E15" s="91" t="s">
        <v>4</v>
      </c>
    </row>
    <row r="16">
      <c r="A16" s="92" t="s">
        <v>8</v>
      </c>
      <c r="B16" s="92" t="s">
        <v>9</v>
      </c>
      <c r="C16" s="93">
        <v>2026.0</v>
      </c>
      <c r="D16" s="92" t="s">
        <v>10</v>
      </c>
      <c r="E16" s="92" t="s">
        <v>11</v>
      </c>
    </row>
    <row r="17">
      <c r="A17" s="94"/>
      <c r="B17" s="94"/>
      <c r="C17" s="95" t="s">
        <v>25</v>
      </c>
      <c r="D17" s="96" t="s">
        <v>26</v>
      </c>
      <c r="E17" s="96" t="s">
        <v>27</v>
      </c>
    </row>
    <row r="18">
      <c r="A18" s="94"/>
      <c r="B18" s="94"/>
      <c r="C18" s="97" t="s">
        <v>31</v>
      </c>
      <c r="D18" s="97" t="s">
        <v>31</v>
      </c>
      <c r="E18" s="98">
        <v>0.0</v>
      </c>
    </row>
  </sheetData>
  <mergeCells count="11">
    <mergeCell ref="D12:E12"/>
    <mergeCell ref="D13:E13"/>
    <mergeCell ref="A14:B14"/>
    <mergeCell ref="D14:E14"/>
    <mergeCell ref="A1:E3"/>
    <mergeCell ref="A5:B11"/>
    <mergeCell ref="C7:C8"/>
    <mergeCell ref="D7:E8"/>
    <mergeCell ref="C9:C11"/>
    <mergeCell ref="D9:E11"/>
    <mergeCell ref="A13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4.38"/>
    <col customWidth="1" min="3" max="3" width="14.25"/>
    <col customWidth="1" min="4" max="4" width="19.88"/>
    <col customWidth="1" min="5" max="5" width="27.38"/>
    <col customWidth="1" min="6" max="6" width="15.13"/>
    <col customWidth="1" min="7" max="7" width="38.5"/>
    <col customWidth="1" min="8" max="8" width="16.0"/>
    <col customWidth="1" min="9" max="9" width="14.5"/>
  </cols>
  <sheetData>
    <row r="1">
      <c r="A1" s="99" t="s">
        <v>69</v>
      </c>
    </row>
    <row r="4">
      <c r="A4" s="100" t="s">
        <v>70</v>
      </c>
      <c r="B4" s="101" t="s">
        <v>71</v>
      </c>
      <c r="C4" s="101" t="s">
        <v>22</v>
      </c>
      <c r="D4" s="101" t="s">
        <v>72</v>
      </c>
      <c r="E4" s="101" t="s">
        <v>73</v>
      </c>
      <c r="F4" s="101" t="s">
        <v>74</v>
      </c>
      <c r="G4" s="101" t="s">
        <v>75</v>
      </c>
      <c r="H4" s="101" t="s">
        <v>76</v>
      </c>
      <c r="I4" s="101" t="s">
        <v>77</v>
      </c>
      <c r="J4" s="102"/>
    </row>
    <row r="5">
      <c r="A5" s="103" t="s">
        <v>78</v>
      </c>
      <c r="B5" s="103" t="s">
        <v>79</v>
      </c>
      <c r="C5" s="104">
        <v>1.047520588E9</v>
      </c>
      <c r="D5" s="105">
        <v>3.116358471E9</v>
      </c>
      <c r="E5" s="103"/>
      <c r="F5" s="106">
        <f>PAGOS!A14</f>
        <v>45845</v>
      </c>
      <c r="G5" s="103"/>
      <c r="H5" s="103"/>
      <c r="I5" s="103"/>
      <c r="J5" s="107"/>
    </row>
    <row r="6">
      <c r="A6" s="108"/>
      <c r="B6" s="108"/>
      <c r="C6" s="108"/>
      <c r="D6" s="108"/>
      <c r="E6" s="108"/>
      <c r="F6" s="108"/>
      <c r="G6" s="108"/>
      <c r="H6" s="108"/>
      <c r="I6" s="108"/>
      <c r="J6" s="108"/>
    </row>
    <row r="7">
      <c r="A7" s="109"/>
      <c r="B7" s="109"/>
      <c r="C7" s="109"/>
      <c r="D7" s="109"/>
      <c r="E7" s="109"/>
      <c r="F7" s="109"/>
      <c r="G7" s="109"/>
      <c r="H7" s="109"/>
      <c r="I7" s="109"/>
      <c r="J7" s="109"/>
    </row>
    <row r="8">
      <c r="A8" s="110"/>
      <c r="B8" s="111" t="s">
        <v>80</v>
      </c>
      <c r="C8" s="112"/>
      <c r="D8" s="110"/>
      <c r="E8" s="110"/>
      <c r="F8" s="110"/>
      <c r="G8" s="110"/>
      <c r="H8" s="110"/>
      <c r="I8" s="110"/>
      <c r="J8" s="110"/>
    </row>
    <row r="9">
      <c r="A9" s="113"/>
      <c r="B9" s="114" t="s">
        <v>81</v>
      </c>
      <c r="C9" s="114" t="s">
        <v>82</v>
      </c>
      <c r="D9" s="101" t="s">
        <v>22</v>
      </c>
      <c r="E9" s="115" t="s">
        <v>72</v>
      </c>
      <c r="F9" s="113"/>
      <c r="G9" s="113"/>
      <c r="H9" s="113"/>
      <c r="I9" s="113"/>
      <c r="J9" s="113"/>
    </row>
    <row r="10">
      <c r="A10" s="116"/>
      <c r="B10" s="117" t="s">
        <v>83</v>
      </c>
      <c r="C10" s="117" t="s">
        <v>84</v>
      </c>
      <c r="D10" s="117">
        <v>1.043296445E9</v>
      </c>
      <c r="E10" s="118">
        <v>3.205594282E9</v>
      </c>
      <c r="F10" s="116"/>
      <c r="G10" s="116"/>
      <c r="H10" s="116"/>
      <c r="I10" s="116"/>
      <c r="J10" s="116"/>
    </row>
    <row r="11">
      <c r="A11" s="119"/>
      <c r="B11" s="120" t="s">
        <v>85</v>
      </c>
      <c r="C11" s="117" t="s">
        <v>84</v>
      </c>
      <c r="D11" s="120">
        <v>6814746.0</v>
      </c>
      <c r="E11" s="121">
        <v>3.234961211E9</v>
      </c>
      <c r="F11" s="119"/>
      <c r="G11" s="119"/>
      <c r="H11" s="119"/>
      <c r="I11" s="119"/>
      <c r="J11" s="119"/>
    </row>
    <row r="12">
      <c r="A12" s="122"/>
      <c r="B12" s="122"/>
      <c r="C12" s="122"/>
      <c r="D12" s="122"/>
      <c r="E12" s="122"/>
      <c r="F12" s="122"/>
      <c r="G12" s="122"/>
      <c r="H12" s="122"/>
      <c r="I12" s="122"/>
      <c r="J12" s="122"/>
    </row>
    <row r="13">
      <c r="A13" s="119"/>
      <c r="B13" s="114" t="s">
        <v>81</v>
      </c>
      <c r="C13" s="114" t="s">
        <v>82</v>
      </c>
      <c r="D13" s="101" t="s">
        <v>22</v>
      </c>
      <c r="E13" s="115" t="s">
        <v>72</v>
      </c>
      <c r="F13" s="119"/>
      <c r="G13" s="119"/>
      <c r="H13" s="119"/>
      <c r="I13" s="119"/>
      <c r="J13" s="119"/>
    </row>
    <row r="14">
      <c r="A14" s="119"/>
      <c r="B14" s="120" t="s">
        <v>86</v>
      </c>
      <c r="C14" s="120" t="s">
        <v>87</v>
      </c>
      <c r="D14" s="120">
        <v>7823548.0</v>
      </c>
      <c r="E14" s="120">
        <v>3.116358471E9</v>
      </c>
      <c r="F14" s="119"/>
      <c r="G14" s="119"/>
      <c r="H14" s="119"/>
      <c r="I14" s="119"/>
      <c r="J14" s="119"/>
    </row>
    <row r="15">
      <c r="A15" s="123"/>
      <c r="B15" s="117" t="s">
        <v>88</v>
      </c>
      <c r="C15" s="120" t="s">
        <v>87</v>
      </c>
      <c r="D15" s="117">
        <v>4.5452518E7</v>
      </c>
      <c r="E15" s="120">
        <v>3.116358471E9</v>
      </c>
      <c r="F15" s="123"/>
      <c r="G15" s="123"/>
      <c r="H15" s="123"/>
      <c r="I15" s="123"/>
      <c r="J15" s="123"/>
    </row>
    <row r="16">
      <c r="A16" s="124"/>
      <c r="B16" s="124"/>
      <c r="C16" s="124"/>
      <c r="D16" s="124"/>
      <c r="E16" s="124"/>
      <c r="F16" s="124"/>
      <c r="G16" s="124"/>
      <c r="H16" s="124"/>
      <c r="I16" s="124"/>
      <c r="J16" s="124"/>
    </row>
    <row r="17">
      <c r="A17" s="123"/>
      <c r="B17" s="123"/>
      <c r="C17" s="123"/>
      <c r="D17" s="123"/>
      <c r="E17" s="123"/>
      <c r="F17" s="123"/>
      <c r="G17" s="123"/>
      <c r="H17" s="123"/>
      <c r="I17" s="123"/>
      <c r="J17" s="123"/>
    </row>
    <row r="18">
      <c r="A18" s="123"/>
      <c r="B18" s="123"/>
      <c r="C18" s="123"/>
      <c r="D18" s="123"/>
      <c r="E18" s="123"/>
      <c r="F18" s="123"/>
      <c r="G18" s="123"/>
      <c r="H18" s="123"/>
      <c r="I18" s="123"/>
      <c r="J18" s="123"/>
    </row>
    <row r="19">
      <c r="A19" s="123"/>
      <c r="B19" s="123"/>
      <c r="C19" s="123"/>
      <c r="D19" s="123"/>
      <c r="E19" s="123"/>
      <c r="F19" s="123"/>
      <c r="G19" s="123"/>
      <c r="H19" s="123"/>
      <c r="I19" s="123"/>
      <c r="J19" s="123"/>
    </row>
    <row r="20">
      <c r="A20" s="123"/>
      <c r="B20" s="123"/>
      <c r="C20" s="123"/>
      <c r="D20" s="123"/>
      <c r="E20" s="123"/>
      <c r="F20" s="123"/>
      <c r="G20" s="123"/>
      <c r="H20" s="123"/>
      <c r="I20" s="123"/>
      <c r="J20" s="123"/>
    </row>
    <row r="21">
      <c r="A21" s="123"/>
      <c r="B21" s="123"/>
      <c r="C21" s="123"/>
      <c r="D21" s="123"/>
      <c r="E21" s="123"/>
      <c r="F21" s="123"/>
      <c r="G21" s="123"/>
      <c r="H21" s="123"/>
      <c r="I21" s="123"/>
      <c r="J21" s="123"/>
    </row>
    <row r="22">
      <c r="A22" s="123"/>
      <c r="B22" s="123"/>
      <c r="C22" s="123"/>
      <c r="D22" s="123"/>
      <c r="E22" s="123"/>
      <c r="F22" s="123"/>
      <c r="G22" s="123"/>
      <c r="H22" s="123"/>
      <c r="I22" s="123"/>
      <c r="J22" s="123"/>
    </row>
    <row r="23">
      <c r="A23" s="123"/>
      <c r="B23" s="123"/>
      <c r="C23" s="123"/>
      <c r="D23" s="123"/>
      <c r="E23" s="123"/>
      <c r="F23" s="123"/>
      <c r="G23" s="123"/>
      <c r="H23" s="123"/>
      <c r="I23" s="123"/>
      <c r="J23" s="123"/>
    </row>
    <row r="24">
      <c r="A24" s="123"/>
      <c r="B24" s="123"/>
      <c r="C24" s="123"/>
      <c r="D24" s="123"/>
      <c r="E24" s="123"/>
      <c r="F24" s="123"/>
      <c r="G24" s="123"/>
      <c r="H24" s="123"/>
      <c r="I24" s="123"/>
      <c r="J24" s="123"/>
    </row>
    <row r="25">
      <c r="A25" s="123"/>
      <c r="B25" s="123"/>
      <c r="C25" s="123"/>
      <c r="D25" s="123"/>
      <c r="E25" s="123"/>
      <c r="F25" s="123"/>
      <c r="G25" s="123"/>
      <c r="H25" s="123"/>
      <c r="I25" s="123"/>
      <c r="J25" s="123"/>
    </row>
    <row r="26">
      <c r="A26" s="123"/>
      <c r="B26" s="123"/>
      <c r="C26" s="123"/>
      <c r="D26" s="123"/>
      <c r="E26" s="123"/>
      <c r="F26" s="123"/>
      <c r="G26" s="123"/>
      <c r="H26" s="123"/>
      <c r="I26" s="123"/>
      <c r="J26" s="123"/>
    </row>
    <row r="27">
      <c r="A27" s="123"/>
      <c r="B27" s="123"/>
      <c r="C27" s="123"/>
      <c r="D27" s="123"/>
      <c r="E27" s="123"/>
      <c r="F27" s="123"/>
      <c r="G27" s="123"/>
      <c r="H27" s="123"/>
      <c r="I27" s="123"/>
      <c r="J27" s="123"/>
    </row>
    <row r="28">
      <c r="A28" s="123"/>
      <c r="B28" s="123"/>
      <c r="C28" s="123"/>
      <c r="D28" s="123"/>
      <c r="E28" s="123"/>
      <c r="F28" s="123"/>
      <c r="G28" s="123"/>
      <c r="H28" s="123"/>
      <c r="I28" s="123"/>
      <c r="J28" s="123"/>
    </row>
    <row r="29">
      <c r="A29" s="123"/>
      <c r="B29" s="123"/>
      <c r="C29" s="123"/>
      <c r="D29" s="123"/>
      <c r="E29" s="123"/>
      <c r="F29" s="123"/>
      <c r="G29" s="123"/>
      <c r="H29" s="123"/>
      <c r="I29" s="123"/>
      <c r="J29" s="123"/>
    </row>
    <row r="30">
      <c r="A30" s="123"/>
      <c r="B30" s="123"/>
      <c r="C30" s="123"/>
      <c r="D30" s="123"/>
      <c r="E30" s="123"/>
      <c r="F30" s="123"/>
      <c r="G30" s="123"/>
      <c r="H30" s="123"/>
      <c r="I30" s="123"/>
      <c r="J30" s="123"/>
    </row>
    <row r="31">
      <c r="A31" s="123"/>
      <c r="B31" s="123"/>
      <c r="C31" s="123"/>
      <c r="D31" s="123"/>
      <c r="E31" s="123"/>
      <c r="F31" s="123"/>
      <c r="G31" s="123"/>
      <c r="H31" s="123"/>
      <c r="I31" s="123"/>
      <c r="J31" s="123"/>
    </row>
    <row r="32">
      <c r="A32" s="123"/>
      <c r="B32" s="123"/>
      <c r="C32" s="123"/>
      <c r="D32" s="123"/>
      <c r="E32" s="123"/>
      <c r="F32" s="123"/>
      <c r="G32" s="123"/>
      <c r="H32" s="123"/>
      <c r="I32" s="123"/>
      <c r="J32" s="123"/>
    </row>
  </sheetData>
  <mergeCells count="1">
    <mergeCell ref="A1:J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3.0"/>
    <col customWidth="1" min="3" max="3" width="23.13"/>
    <col customWidth="1" min="4" max="4" width="20.63"/>
    <col customWidth="1" min="5" max="5" width="21.88"/>
    <col customWidth="1" min="6" max="6" width="25.63"/>
    <col customWidth="1" min="7" max="7" width="18.5"/>
    <col customWidth="1" min="8" max="8" width="26.75"/>
    <col customWidth="1" min="9" max="9" width="22.63"/>
    <col customWidth="1" min="10" max="10" width="23.38"/>
  </cols>
  <sheetData>
    <row r="1">
      <c r="A1" s="99" t="s">
        <v>89</v>
      </c>
    </row>
    <row r="4">
      <c r="A4" s="125" t="s">
        <v>90</v>
      </c>
      <c r="B4" s="126"/>
      <c r="C4" s="126"/>
      <c r="D4" s="126"/>
      <c r="E4" s="126"/>
      <c r="F4" s="126"/>
      <c r="G4" s="126"/>
      <c r="H4" s="126"/>
      <c r="I4" s="126"/>
      <c r="J4" s="127"/>
    </row>
    <row r="5">
      <c r="A5" s="1" t="s">
        <v>6</v>
      </c>
      <c r="B5" s="1" t="s">
        <v>7</v>
      </c>
      <c r="C5" s="7" t="s">
        <v>12</v>
      </c>
      <c r="D5" s="8" t="s">
        <v>13</v>
      </c>
      <c r="E5" s="8" t="s">
        <v>14</v>
      </c>
      <c r="F5" s="128" t="s">
        <v>91</v>
      </c>
      <c r="G5" s="8" t="s">
        <v>16</v>
      </c>
      <c r="H5" s="9" t="s">
        <v>17</v>
      </c>
      <c r="I5" s="8" t="s">
        <v>18</v>
      </c>
      <c r="J5" s="8" t="s">
        <v>19</v>
      </c>
    </row>
    <row r="6">
      <c r="A6" s="129">
        <v>1.1E7</v>
      </c>
      <c r="B6" s="129">
        <v>1900000.0</v>
      </c>
      <c r="C6" s="130">
        <f t="shared" ref="C6:C8" si="2">A6-B6</f>
        <v>9100000</v>
      </c>
      <c r="D6" s="131">
        <f>C6*1.45</f>
        <v>13195000</v>
      </c>
      <c r="E6" s="130">
        <f>D6+C6+B11+C11+D11</f>
        <v>23125000</v>
      </c>
      <c r="F6" s="132">
        <v>18.0</v>
      </c>
      <c r="G6" s="133">
        <f t="shared" ref="G6:G8" si="3">E6/F6</f>
        <v>1284722.222</v>
      </c>
      <c r="H6" s="134">
        <f t="shared" ref="H6:I6" si="1">G6/2</f>
        <v>642361.1111</v>
      </c>
      <c r="I6" s="134">
        <f t="shared" si="1"/>
        <v>321180.5556</v>
      </c>
      <c r="J6" s="135">
        <f t="shared" ref="J6:J8" si="5">I6/6</f>
        <v>53530.09259</v>
      </c>
    </row>
    <row r="7">
      <c r="A7" s="129">
        <v>1.1E7</v>
      </c>
      <c r="B7" s="129">
        <v>1900000.0</v>
      </c>
      <c r="C7" s="130">
        <f t="shared" si="2"/>
        <v>9100000</v>
      </c>
      <c r="D7" s="131">
        <f>C7*1.78</f>
        <v>16198000</v>
      </c>
      <c r="E7" s="130">
        <f t="shared" ref="E7:E8" si="6">D7+C7+B12+C12</f>
        <v>26328000</v>
      </c>
      <c r="F7" s="132">
        <v>26.0</v>
      </c>
      <c r="G7" s="136">
        <f t="shared" si="3"/>
        <v>1012615.385</v>
      </c>
      <c r="H7" s="137">
        <f t="shared" ref="H7:I7" si="4">G7/2</f>
        <v>506307.6923</v>
      </c>
      <c r="I7" s="137">
        <f t="shared" si="4"/>
        <v>253153.8462</v>
      </c>
      <c r="J7" s="138">
        <f t="shared" si="5"/>
        <v>42192.30769</v>
      </c>
    </row>
    <row r="8">
      <c r="A8" s="129">
        <v>1.1E7</v>
      </c>
      <c r="B8" s="129">
        <v>1900000.0</v>
      </c>
      <c r="C8" s="130">
        <f t="shared" si="2"/>
        <v>9100000</v>
      </c>
      <c r="D8" s="131">
        <f>C8*1.98</f>
        <v>18018000</v>
      </c>
      <c r="E8" s="130">
        <f t="shared" si="6"/>
        <v>28398000</v>
      </c>
      <c r="F8" s="132">
        <v>36.0</v>
      </c>
      <c r="G8" s="133">
        <f t="shared" si="3"/>
        <v>788833.3333</v>
      </c>
      <c r="H8" s="134">
        <f t="shared" ref="H8:I8" si="7">G8/2</f>
        <v>394416.6667</v>
      </c>
      <c r="I8" s="134">
        <f t="shared" si="7"/>
        <v>197208.3333</v>
      </c>
      <c r="J8" s="135">
        <f t="shared" si="5"/>
        <v>32868.05556</v>
      </c>
    </row>
    <row r="9">
      <c r="A9" s="139"/>
      <c r="B9" s="140"/>
      <c r="C9" s="141"/>
      <c r="D9" s="141"/>
      <c r="E9" s="142"/>
      <c r="F9" s="142"/>
    </row>
    <row r="10">
      <c r="A10" s="143" t="s">
        <v>92</v>
      </c>
      <c r="B10" s="144" t="s">
        <v>93</v>
      </c>
      <c r="C10" s="144" t="s">
        <v>94</v>
      </c>
      <c r="D10" s="144" t="s">
        <v>25</v>
      </c>
      <c r="E10" s="145" t="s">
        <v>95</v>
      </c>
    </row>
    <row r="11">
      <c r="B11" s="146">
        <f>F6*A12</f>
        <v>450000</v>
      </c>
      <c r="C11" s="146">
        <v>380000.0</v>
      </c>
      <c r="D11" s="147"/>
      <c r="E11" s="148"/>
    </row>
    <row r="12">
      <c r="A12" s="149">
        <v>25000.0</v>
      </c>
      <c r="B12" s="146">
        <f>F7*A12</f>
        <v>650000</v>
      </c>
      <c r="C12" s="146">
        <v>380000.0</v>
      </c>
      <c r="D12" s="147"/>
      <c r="E12" s="148"/>
    </row>
    <row r="13">
      <c r="A13" s="150"/>
      <c r="B13" s="146">
        <f>F8*A12</f>
        <v>900000</v>
      </c>
      <c r="C13" s="146">
        <v>380000.0</v>
      </c>
      <c r="D13" s="147"/>
      <c r="E13" s="148"/>
    </row>
  </sheetData>
  <mergeCells count="3">
    <mergeCell ref="A1:J3"/>
    <mergeCell ref="A4:J4"/>
    <mergeCell ref="A10:A11"/>
  </mergeCells>
  <drawing r:id="rId1"/>
</worksheet>
</file>