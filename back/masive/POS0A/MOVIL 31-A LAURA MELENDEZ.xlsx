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<sst xmlns="http://schemas.openxmlformats.org/spreadsheetml/2006/main" count="75" uniqueCount="41">
  <si>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</si>
  <si>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</si>
  <si>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</si>
  <si>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</si>
  <si>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</si>
  <si>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</si>
  <si>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</si>
  <si>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</si>
  <si>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A245875</t>
  </si>
  <si>
    <t>BOXER</t>
  </si>
  <si>
    <t>BAJAJ</t>
  </si>
  <si>
    <t>DQN75I</t>
  </si>
  <si>
    <t>MOVIL 31-A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</si>
  <si>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</si>
  <si>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</si>
  <si>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</si>
  <si>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</si>
  <si>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</si>
  <si>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</si>
  <si>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</si>
  <si>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</si>
  <si>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</si>
  <si>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</si>
  <si>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</si>
  <si>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</si>
  <si>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</si>
  <si>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FIRMA</t>
  </si>
  <si>
    <t>GPS</t>
  </si>
  <si>
    <t xml:space="preserve">DEUDA DE SEMANA </t>
  </si>
  <si>
    <t>LAURA YOLIACNNYS</t>
  </si>
  <si>
    <t>MELENDEZ ROSALES</t>
  </si>
  <si>
    <t>PPT 5455912</t>
  </si>
  <si>
    <t>VENEZOLANA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</si>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</sst>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3.0"/>
      <color theme="1"/>
      <name val="Nunito"/>
    </font>
    <font>
      <b/>
      <sz val="14.0"/>
      <color theme="1"/>
      <name val="Arial"/>
    </font>
    <font>
      <b/>
      <sz val="13.0"/>
      <color theme="1"/>
      <name val="Arial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sz val="12.0"/>
      <color theme="1"/>
      <name val="Arial"/>
    </font>
    <font>
      <b/>
      <sz val="11.0"/>
      <color rgb="FF0077D9"/>
      <name val="Arial"/>
    </font>
    <font>
      <b/>
      <color theme="1"/>
      <name val="Arial"/>
    </font>
    <font>
      <b/>
      <sz val="11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18.0"/>
      <color theme="1"/>
      <name val="Arial"/>
    </font>
    <font>
      <sz val="20.0"/>
      <color rgb="FFFFFFFF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color theme="9"/>
      <name val="Arial"/>
    </font>
    <font>
      <color rgb="FF46BDC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0" fillId="3" fontId="5" numFmtId="164" xfId="0" applyAlignment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9" fontId="10" numFmtId="0" xfId="0" applyAlignment="1" applyFill="1" applyFont="1">
      <alignment horizontal="center" shrinkToFit="0" vertical="bottom" wrapText="1"/>
    </xf>
    <xf borderId="0" fillId="3" fontId="11" numFmtId="0" xfId="0" applyAlignment="1" applyFont="1">
      <alignment horizontal="center" readingOrder="0" vertical="bottom"/>
    </xf>
    <xf borderId="0" fillId="3" fontId="11" numFmtId="3" xfId="0" applyAlignment="1" applyFont="1" applyNumberFormat="1">
      <alignment horizontal="center" readingOrder="0" vertical="bottom"/>
    </xf>
    <xf borderId="0" fillId="3" fontId="11" numFmtId="0" xfId="0" applyAlignment="1" applyFont="1">
      <alignment horizontal="center" vertical="bottom"/>
    </xf>
    <xf borderId="0" fillId="3" fontId="12" numFmtId="0" xfId="0" applyAlignment="1" applyFont="1">
      <alignment horizontal="center" readingOrder="0" vertical="bottom"/>
    </xf>
    <xf borderId="0" fillId="10" fontId="2" numFmtId="164" xfId="0" applyAlignment="1" applyFill="1" applyFont="1" applyNumberFormat="1">
      <alignment vertical="bottom"/>
    </xf>
    <xf borderId="0" fillId="11" fontId="2" numFmtId="164" xfId="0" applyAlignment="1" applyFill="1" applyFont="1" applyNumberFormat="1">
      <alignment vertical="bottom"/>
    </xf>
    <xf borderId="0" fillId="12" fontId="2" numFmtId="0" xfId="0" applyAlignment="1" applyFill="1" applyFont="1">
      <alignment vertical="bottom"/>
    </xf>
    <xf borderId="3" fillId="12" fontId="2" numFmtId="164" xfId="0" applyAlignment="1" applyBorder="1" applyFont="1" applyNumberFormat="1">
      <alignment vertical="bottom"/>
    </xf>
    <xf borderId="4" fillId="12" fontId="13" numFmtId="0" xfId="0" applyAlignment="1" applyBorder="1" applyFont="1">
      <alignment horizontal="center" vertical="bottom"/>
    </xf>
    <xf borderId="0" fillId="5" fontId="14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2" fontId="17" numFmtId="164" xfId="0" applyAlignment="1" applyFont="1" applyNumberFormat="1">
      <alignment horizontal="center" vertical="bottom"/>
    </xf>
    <xf borderId="0" fillId="11" fontId="18" numFmtId="164" xfId="0" applyAlignment="1" applyFont="1" applyNumberFormat="1">
      <alignment horizontal="center" vertical="bottom"/>
    </xf>
    <xf borderId="5" fillId="12" fontId="19" numFmtId="0" xfId="0" applyAlignment="1" applyBorder="1" applyFont="1">
      <alignment horizontal="center" vertical="bottom"/>
    </xf>
    <xf borderId="6" fillId="0" fontId="16" numFmtId="0" xfId="0" applyBorder="1" applyFont="1"/>
    <xf borderId="0" fillId="13" fontId="14" numFmtId="0" xfId="0" applyAlignment="1" applyFill="1" applyFont="1">
      <alignment vertical="bottom"/>
    </xf>
    <xf borderId="7" fillId="13" fontId="2" numFmtId="0" xfId="0" applyAlignment="1" applyBorder="1" applyFont="1">
      <alignment vertical="bottom"/>
    </xf>
    <xf borderId="8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0" fillId="14" fontId="14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0" fillId="12" fontId="2" numFmtId="166" xfId="0" applyAlignment="1" applyFont="1" applyNumberFormat="1">
      <alignment vertical="bottom"/>
    </xf>
    <xf borderId="0" fillId="15" fontId="2" numFmtId="164" xfId="0" applyAlignment="1" applyFill="1" applyFont="1" applyNumberFormat="1">
      <alignment vertical="bottom"/>
    </xf>
    <xf borderId="0" fillId="12" fontId="20" numFmtId="166" xfId="0" applyAlignment="1" applyFont="1" applyNumberFormat="1">
      <alignment horizontal="center" vertical="bottom"/>
    </xf>
    <xf borderId="0" fillId="12" fontId="21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15" fontId="12" numFmtId="164" xfId="0" applyAlignment="1" applyFont="1" applyNumberFormat="1">
      <alignment horizontal="center" readingOrder="0" vertical="bottom"/>
    </xf>
    <xf borderId="0" fillId="15" fontId="12" numFmtId="3" xfId="0" applyAlignment="1" applyFont="1" applyNumberFormat="1">
      <alignment horizontal="center" readingOrder="0" vertical="bottom"/>
    </xf>
    <xf borderId="0" fillId="15" fontId="12" numFmtId="167" xfId="0" applyAlignment="1" applyFont="1" applyNumberFormat="1">
      <alignment horizontal="center" readingOrder="0" vertical="bottom"/>
    </xf>
    <xf borderId="0" fillId="0" fontId="12" numFmtId="164" xfId="0" applyAlignment="1" applyFont="1" applyNumberFormat="1">
      <alignment horizontal="center" readingOrder="0" vertical="bottom"/>
    </xf>
    <xf borderId="0" fillId="4" fontId="22" numFmtId="164" xfId="0" applyAlignment="1" applyFont="1" applyNumberFormat="1">
      <alignment horizontal="center" vertical="bottom"/>
    </xf>
    <xf borderId="0" fillId="4" fontId="22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6" fontId="2" numFmtId="0" xfId="0" applyAlignment="1" applyFill="1" applyFont="1">
      <alignment vertical="bottom"/>
    </xf>
    <xf borderId="0" fillId="16" fontId="2" numFmtId="166" xfId="0" applyAlignment="1" applyFont="1" applyNumberFormat="1">
      <alignment vertical="bottom"/>
    </xf>
    <xf borderId="0" fillId="12" fontId="2" numFmtId="1" xfId="0" applyAlignment="1" applyFont="1" applyNumberFormat="1">
      <alignment horizontal="center" vertical="bottom"/>
    </xf>
    <xf borderId="0" fillId="12" fontId="23" numFmtId="0" xfId="0" applyAlignment="1" applyFont="1">
      <alignment readingOrder="0" vertical="bottom"/>
    </xf>
    <xf borderId="0" fillId="12" fontId="20" numFmtId="166" xfId="0" applyAlignment="1" applyFont="1" applyNumberFormat="1">
      <alignment horizontal="center" readingOrder="0" vertical="bottom"/>
    </xf>
    <xf borderId="0" fillId="0" fontId="11" numFmtId="3" xfId="0" applyAlignment="1" applyFont="1" applyNumberFormat="1">
      <alignment horizontal="center" readingOrder="0" vertical="bottom"/>
    </xf>
    <xf borderId="0" fillId="15" fontId="2" numFmtId="4" xfId="0" applyAlignment="1" applyFont="1" applyNumberFormat="1">
      <alignment vertical="bottom"/>
    </xf>
    <xf borderId="0" fillId="15" fontId="2" numFmtId="167" xfId="0" applyAlignment="1" applyFont="1" applyNumberFormat="1">
      <alignment vertical="bottom"/>
    </xf>
    <xf borderId="0" fillId="4" fontId="22" numFmtId="0" xfId="0" applyAlignment="1" applyFont="1">
      <alignment horizontal="center" readingOrder="0" vertical="bottom"/>
    </xf>
    <xf borderId="0" fillId="12" fontId="24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1619250</xdr:colOff>
      <xdr:row>0</xdr:row>
      <xdr:rowOff>0</xdr:rowOff>
    </xdr:from>
    <xdr:ext cx="1657350" cy="2638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8.88"/>
    <col customWidth="1" min="2" max="2" width="19.38"/>
    <col customWidth="1" min="3" max="3" width="18.75"/>
    <col customWidth="1" min="4" max="5" width="20.0"/>
    <col customWidth="1" min="6" max="6" width="19.13"/>
    <col customWidth="1" min="7" max="7" width="19.75"/>
    <col customWidth="1" min="8" max="8" width="21.38"/>
    <col customWidth="1" min="9" max="9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5" t="s">
        <v>10</v>
      </c>
      <c r="E2" s="7" t="s">
        <v>11</v>
      </c>
      <c r="F2" s="8" t="s">
        <v>12</v>
      </c>
      <c r="G2" s="9">
        <v>6800000.0</v>
      </c>
      <c r="H2" s="10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6000000</v>
      </c>
      <c r="B5" s="15">
        <v>2.395</v>
      </c>
      <c r="C5" s="16">
        <f>A5*B5</f>
        <v>14370000</v>
      </c>
      <c r="D5" s="17">
        <v>18.0</v>
      </c>
      <c r="E5" s="18">
        <f>C5/D5</f>
        <v>798333.3333</v>
      </c>
      <c r="F5" s="18">
        <f t="shared" ref="F5:G5" si="1">E5/2</f>
        <v>399166.6667</v>
      </c>
      <c r="G5" s="19">
        <f t="shared" si="1"/>
        <v>199583.3333</v>
      </c>
      <c r="H5" s="18">
        <f>G5/6</f>
        <v>33263.88889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21" t="s">
        <v>26</v>
      </c>
      <c r="G6" s="22" t="s">
        <v>27</v>
      </c>
      <c r="H6" s="22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29</v>
      </c>
      <c r="B7" s="23" t="s">
        <v>30</v>
      </c>
      <c r="C7" s="24" t="s">
        <v>31</v>
      </c>
      <c r="D7" s="25" t="s">
        <v>32</v>
      </c>
      <c r="E7" s="26">
        <v>3.009644349E9</v>
      </c>
      <c r="F7" s="2"/>
      <c r="G7" s="27"/>
      <c r="H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9"/>
      <c r="B8" s="29"/>
      <c r="C8" s="29"/>
      <c r="D8" s="29"/>
      <c r="E8" s="30"/>
      <c r="F8" s="30"/>
      <c r="G8" s="27"/>
      <c r="H8" s="31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2" t="s">
        <v>33</v>
      </c>
      <c r="C9" s="33" t="s">
        <v>34</v>
      </c>
      <c r="E9" s="33" t="s">
        <v>35</v>
      </c>
      <c r="G9" s="33" t="s">
        <v>36</v>
      </c>
      <c r="H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5">
        <f>I16+I26+I36</f>
        <v>1766000</v>
      </c>
      <c r="C10" s="36">
        <f>C5-A10</f>
        <v>12604000</v>
      </c>
      <c r="E10" s="36">
        <f>C10+G10</f>
        <v>12604000</v>
      </c>
      <c r="G10" s="28"/>
      <c r="H10" s="37">
        <f>I23+I33+I43</f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9" t="s">
        <v>37</v>
      </c>
      <c r="E12" s="40"/>
      <c r="F12" s="41"/>
      <c r="G12" s="41"/>
      <c r="H12" s="4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3" t="s">
        <v>38</v>
      </c>
      <c r="B15" s="43" t="s">
        <v>39</v>
      </c>
      <c r="C15" s="43" t="s">
        <v>38</v>
      </c>
      <c r="D15" s="43" t="s">
        <v>39</v>
      </c>
      <c r="E15" s="43" t="s">
        <v>38</v>
      </c>
      <c r="F15" s="43" t="s">
        <v>39</v>
      </c>
      <c r="G15" s="43" t="s">
        <v>38</v>
      </c>
      <c r="H15" s="43" t="s">
        <v>39</v>
      </c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5"/>
      <c r="B16" s="46"/>
      <c r="C16" s="47">
        <v>46118.0</v>
      </c>
      <c r="D16" s="46"/>
      <c r="E16" s="47">
        <v>46125.0</v>
      </c>
      <c r="F16" s="46"/>
      <c r="G16" s="47">
        <v>46132.0</v>
      </c>
      <c r="H16" s="46"/>
      <c r="I16" s="48">
        <f>B22+D22+F22+H22</f>
        <v>766000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5"/>
      <c r="B17" s="2"/>
      <c r="C17" s="47">
        <v>46119.0</v>
      </c>
      <c r="D17" s="2"/>
      <c r="E17" s="47">
        <v>46126.0</v>
      </c>
      <c r="F17" s="49"/>
      <c r="G17" s="47">
        <v>46133.0</v>
      </c>
      <c r="H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5"/>
      <c r="B18" s="2"/>
      <c r="C18" s="47">
        <v>46120.0</v>
      </c>
      <c r="D18" s="2"/>
      <c r="E18" s="47">
        <v>46127.0</v>
      </c>
      <c r="F18" s="49"/>
      <c r="G18" s="47">
        <v>46134.0</v>
      </c>
      <c r="H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7">
        <v>46114.0</v>
      </c>
      <c r="B19" s="2"/>
      <c r="C19" s="47">
        <v>46121.0</v>
      </c>
      <c r="D19" s="50">
        <v>200000.0</v>
      </c>
      <c r="E19" s="47">
        <v>46128.0</v>
      </c>
      <c r="F19" s="51">
        <v>200000.0</v>
      </c>
      <c r="G19" s="47">
        <v>46135.0</v>
      </c>
      <c r="H19" s="52">
        <v>200000.0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7">
        <v>46115.0</v>
      </c>
      <c r="B20" s="53">
        <v>166000.0</v>
      </c>
      <c r="C20" s="47">
        <v>46122.0</v>
      </c>
      <c r="D20" s="2"/>
      <c r="E20" s="47">
        <v>46129.0</v>
      </c>
      <c r="F20" s="49"/>
      <c r="G20" s="47">
        <v>46136.0</v>
      </c>
      <c r="H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7">
        <v>46116.0</v>
      </c>
      <c r="B21" s="2"/>
      <c r="C21" s="47">
        <v>46123.0</v>
      </c>
      <c r="D21" s="2"/>
      <c r="E21" s="47">
        <v>46130.0</v>
      </c>
      <c r="F21" s="49"/>
      <c r="G21" s="47">
        <v>46137.0</v>
      </c>
      <c r="H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4">
        <f>SUM(B16:B21)</f>
        <v>166000</v>
      </c>
      <c r="C22" s="11"/>
      <c r="D22" s="54">
        <f>SUM(D16:D21)</f>
        <v>200000</v>
      </c>
      <c r="E22" s="11"/>
      <c r="F22" s="54">
        <f>SUM(F16:F21)</f>
        <v>200000</v>
      </c>
      <c r="G22" s="11"/>
      <c r="H22" s="54">
        <f>SUM(H16:H21)</f>
        <v>200000</v>
      </c>
      <c r="I22" s="55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6" t="s">
        <v>40</v>
      </c>
      <c r="B23" s="57"/>
      <c r="C23" s="56" t="s">
        <v>40</v>
      </c>
      <c r="D23" s="58"/>
      <c r="E23" s="59" t="s">
        <v>40</v>
      </c>
      <c r="F23" s="57"/>
      <c r="G23" s="56" t="s">
        <v>40</v>
      </c>
      <c r="H23" s="57"/>
      <c r="I23" s="60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3" t="s">
        <v>38</v>
      </c>
      <c r="B25" s="43" t="s">
        <v>39</v>
      </c>
      <c r="C25" s="43" t="s">
        <v>38</v>
      </c>
      <c r="D25" s="43" t="s">
        <v>39</v>
      </c>
      <c r="E25" s="43" t="s">
        <v>38</v>
      </c>
      <c r="F25" s="43" t="s">
        <v>39</v>
      </c>
      <c r="G25" s="43" t="s">
        <v>38</v>
      </c>
      <c r="H25" s="43" t="s">
        <v>39</v>
      </c>
      <c r="I25" s="4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1">
        <v>46139.0</v>
      </c>
      <c r="B26" s="46"/>
      <c r="C26" s="61">
        <v>46146.0</v>
      </c>
      <c r="D26" s="46"/>
      <c r="E26" s="61">
        <v>46153.0</v>
      </c>
      <c r="F26" s="46"/>
      <c r="G26" s="61">
        <v>46160.0</v>
      </c>
      <c r="H26" s="46"/>
      <c r="I26" s="48">
        <f>B32+D32+F32+H32</f>
        <v>800000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1">
        <v>46140.0</v>
      </c>
      <c r="B27" s="2"/>
      <c r="C27" s="61">
        <v>46147.0</v>
      </c>
      <c r="D27" s="2"/>
      <c r="E27" s="61">
        <v>46154.0</v>
      </c>
      <c r="F27" s="49"/>
      <c r="G27" s="61">
        <v>46161.0</v>
      </c>
      <c r="H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1">
        <v>46141.0</v>
      </c>
      <c r="B28" s="53">
        <v>200000.0</v>
      </c>
      <c r="C28" s="61">
        <v>46148.0</v>
      </c>
      <c r="D28" s="53">
        <v>200000.0</v>
      </c>
      <c r="E28" s="61">
        <v>46155.0</v>
      </c>
      <c r="F28" s="62">
        <v>200000.0</v>
      </c>
      <c r="G28" s="61">
        <v>46162.0</v>
      </c>
      <c r="H28" s="53">
        <v>200000.0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1">
        <v>46142.0</v>
      </c>
      <c r="B29" s="2"/>
      <c r="C29" s="61">
        <v>46149.0</v>
      </c>
      <c r="D29" s="46"/>
      <c r="E29" s="61">
        <v>46156.0</v>
      </c>
      <c r="F29" s="63"/>
      <c r="G29" s="61">
        <v>46163.0</v>
      </c>
      <c r="H29" s="6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1">
        <v>46143.0</v>
      </c>
      <c r="B30" s="2"/>
      <c r="C30" s="61">
        <v>46150.0</v>
      </c>
      <c r="D30" s="2"/>
      <c r="E30" s="61">
        <v>46157.0</v>
      </c>
      <c r="F30" s="49"/>
      <c r="G30" s="61">
        <v>46164.0</v>
      </c>
      <c r="H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1">
        <v>46144.0</v>
      </c>
      <c r="B31" s="2"/>
      <c r="C31" s="61">
        <v>46151.0</v>
      </c>
      <c r="D31" s="2"/>
      <c r="E31" s="61">
        <v>46158.0</v>
      </c>
      <c r="F31" s="49"/>
      <c r="G31" s="61">
        <v>46165.0</v>
      </c>
      <c r="H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4">
        <f>SUM(B26:B31)</f>
        <v>200000</v>
      </c>
      <c r="C32" s="11"/>
      <c r="D32" s="54">
        <f>SUM(D26:D31)</f>
        <v>200000</v>
      </c>
      <c r="E32" s="11"/>
      <c r="F32" s="54">
        <f>SUM(F26:F31)</f>
        <v>200000</v>
      </c>
      <c r="G32" s="11"/>
      <c r="H32" s="54">
        <f>SUM(H26:H31)</f>
        <v>200000</v>
      </c>
      <c r="I32" s="65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6" t="s">
        <v>40</v>
      </c>
      <c r="B33" s="57"/>
      <c r="C33" s="56" t="s">
        <v>40</v>
      </c>
      <c r="D33" s="58"/>
      <c r="E33" s="59" t="s">
        <v>40</v>
      </c>
      <c r="F33" s="57"/>
      <c r="G33" s="56" t="s">
        <v>40</v>
      </c>
      <c r="H33" s="57"/>
      <c r="I33" s="66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3" t="s">
        <v>38</v>
      </c>
      <c r="B35" s="43" t="s">
        <v>39</v>
      </c>
      <c r="C35" s="43" t="s">
        <v>38</v>
      </c>
      <c r="D35" s="43" t="s">
        <v>39</v>
      </c>
      <c r="E35" s="43" t="s">
        <v>38</v>
      </c>
      <c r="F35" s="43" t="s">
        <v>39</v>
      </c>
      <c r="G35" s="43" t="s">
        <v>38</v>
      </c>
      <c r="H35" s="43" t="s">
        <v>39</v>
      </c>
      <c r="I35" s="4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1">
        <v>46167.0</v>
      </c>
      <c r="B36" s="46"/>
      <c r="C36" s="61">
        <v>46174.0</v>
      </c>
      <c r="D36" s="46"/>
      <c r="E36" s="61">
        <v>46181.0</v>
      </c>
      <c r="F36" s="46"/>
      <c r="G36" s="61">
        <v>46188.0</v>
      </c>
      <c r="H36" s="46"/>
      <c r="I36" s="48">
        <f>B42+D42+F42+H42</f>
        <v>200000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1">
        <v>46168.0</v>
      </c>
      <c r="B37" s="2"/>
      <c r="C37" s="61">
        <v>46175.0</v>
      </c>
      <c r="D37" s="2"/>
      <c r="E37" s="61">
        <v>46182.0</v>
      </c>
      <c r="F37" s="49"/>
      <c r="G37" s="61">
        <v>46189.0</v>
      </c>
      <c r="H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1">
        <v>46169.0</v>
      </c>
      <c r="B38" s="53">
        <v>200000.0</v>
      </c>
      <c r="C38" s="61">
        <v>46176.0</v>
      </c>
      <c r="D38" s="67"/>
      <c r="E38" s="61">
        <v>46183.0</v>
      </c>
      <c r="F38" s="68"/>
      <c r="G38" s="61">
        <v>46190.0</v>
      </c>
      <c r="H38" s="6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1">
        <v>46170.0</v>
      </c>
      <c r="B39" s="2"/>
      <c r="C39" s="61">
        <v>46177.0</v>
      </c>
      <c r="D39" s="46"/>
      <c r="E39" s="61">
        <v>46184.0</v>
      </c>
      <c r="F39" s="63"/>
      <c r="G39" s="61">
        <v>46191.0</v>
      </c>
      <c r="H39" s="6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1">
        <v>46171.0</v>
      </c>
      <c r="B40" s="2"/>
      <c r="C40" s="61">
        <v>46178.0</v>
      </c>
      <c r="D40" s="2"/>
      <c r="E40" s="61">
        <v>46185.0</v>
      </c>
      <c r="F40" s="49"/>
      <c r="G40" s="61">
        <v>46192.0</v>
      </c>
      <c r="H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1">
        <v>46172.0</v>
      </c>
      <c r="B41" s="2"/>
      <c r="C41" s="61">
        <v>46179.0</v>
      </c>
      <c r="D41" s="2"/>
      <c r="E41" s="61">
        <v>46186.0</v>
      </c>
      <c r="F41" s="49"/>
      <c r="G41" s="61">
        <v>46193.0</v>
      </c>
      <c r="H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54">
        <f>SUM(B36:B41)</f>
        <v>200000</v>
      </c>
      <c r="C42" s="11"/>
      <c r="D42" s="54">
        <f>SUM(D36:D41)</f>
        <v>0</v>
      </c>
      <c r="E42" s="11"/>
      <c r="F42" s="54">
        <f>SUM(F36:F41)</f>
        <v>0</v>
      </c>
      <c r="G42" s="11"/>
      <c r="H42" s="54">
        <f>SUM(H36:H41)</f>
        <v>0</v>
      </c>
      <c r="I42" s="65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6" t="s">
        <v>40</v>
      </c>
      <c r="B43" s="57"/>
      <c r="C43" s="56" t="s">
        <v>40</v>
      </c>
      <c r="D43" s="58"/>
      <c r="E43" s="59" t="s">
        <v>40</v>
      </c>
      <c r="F43" s="57"/>
      <c r="G43" s="56" t="s">
        <v>40</v>
      </c>
      <c r="H43" s="57"/>
      <c r="I43" s="6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</sheetData>
  <mergeCells count="18">
    <mergeCell ref="E10:F11"/>
    <mergeCell ref="G10:G11"/>
    <mergeCell ref="I16:I21"/>
    <mergeCell ref="A24:I24"/>
    <mergeCell ref="I26:I31"/>
    <mergeCell ref="A34:I34"/>
    <mergeCell ref="I36:I41"/>
    <mergeCell ref="A44:I44"/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A13:I14"/>
  </mergeCells>
  <drawing r:id="rId1"/>
</worksheet>
</file>