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</sheets>
  <definedNames/>
  <calcPr/>
</workbook>
</file>

<file path=xl/sharedStrings.xml><?xml version="1.0" encoding="utf-8"?>
<sst xmlns="http://schemas.openxmlformats.org/spreadsheetml/2006/main" count="102" uniqueCount="39">
  <si>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</si>
  <si>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</si>
  <si>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</si>
  <si>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</si>
  <si>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</si>
  <si>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</si>
  <si>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</si>
  <si>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</si>
  <si>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A2175</t>
  </si>
  <si>
    <t>BERA</t>
  </si>
  <si>
    <t>SBR</t>
  </si>
  <si>
    <t>YIC36H</t>
  </si>
  <si>
    <t>24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</si>
  <si>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</si>
  <si>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</si>
  <si>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</si>
  <si>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</si>
  <si>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</si>
  <si>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</si>
  <si>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</si>
  <si>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</si>
  <si>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</si>
  <si>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</si>
  <si>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</si>
  <si>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</si>
  <si>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</si>
  <si>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</si>
  <si>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</si>
  <si>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>PRESTAMO.</t>
  </si>
  <si>
    <t>SANTIAGO</t>
  </si>
  <si>
    <t>ROJAS</t>
  </si>
  <si>
    <t>VENEZOLANO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</si>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</sst>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 $]#,##0"/>
    <numFmt numFmtId="165" formatCode="[$$]#,##0.00"/>
    <numFmt numFmtId="166" formatCode="dd/mm/yyyy"/>
    <numFmt numFmtId="167" formatCode="&quot;$&quot;#,##0.00"/>
    <numFmt numFmtId="168" formatCode="d/m/yyyy"/>
  </numFmts>
  <fonts count="22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1.0"/>
      <color theme="1"/>
      <name val="Nunito"/>
    </font>
    <font>
      <b/>
      <sz val="12.0"/>
      <color rgb="FFFFFFFF"/>
      <name val="Nunito"/>
    </font>
    <font>
      <b/>
      <sz val="12.0"/>
      <color theme="1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color theme="1"/>
      <name val="Arial"/>
    </font>
    <font>
      <sz val="12.0"/>
      <color theme="1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sz val="21.0"/>
      <color theme="1"/>
      <name val="Arial"/>
    </font>
    <font>
      <sz val="23.0"/>
      <color theme="1"/>
      <name val="Arial"/>
    </font>
    <font>
      <b/>
      <sz val="22.0"/>
      <color theme="1"/>
      <name val="Arial"/>
    </font>
    <font>
      <b/>
      <sz val="21.0"/>
      <color theme="1"/>
      <name val="Arial"/>
    </font>
    <font>
      <sz val="11.0"/>
      <color theme="1"/>
      <name val="Arial"/>
    </font>
    <font>
      <b/>
      <sz val="17.0"/>
      <color theme="1"/>
      <name val="Arial"/>
    </font>
    <font>
      <color theme="9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2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4" numFmtId="0" xfId="0" applyAlignment="1" applyFill="1" applyFont="1">
      <alignment horizontal="center" shrinkToFit="0" vertical="bottom" wrapText="1"/>
    </xf>
    <xf borderId="0" fillId="5" fontId="4" numFmtId="0" xfId="0" applyAlignment="1" applyFont="1">
      <alignment horizontal="center" vertical="bottom"/>
    </xf>
    <xf borderId="1" fillId="6" fontId="5" numFmtId="165" xfId="0" applyAlignment="1" applyBorder="1" applyFill="1" applyFont="1" applyNumberFormat="1">
      <alignment horizontal="center" vertical="bottom"/>
    </xf>
    <xf borderId="1" fillId="6" fontId="5" numFmtId="4" xfId="0" applyAlignment="1" applyBorder="1" applyFont="1" applyNumberFormat="1">
      <alignment horizontal="center" vertical="bottom"/>
    </xf>
    <xf borderId="1" fillId="6" fontId="5" numFmtId="1" xfId="0" applyAlignment="1" applyBorder="1" applyFont="1" applyNumberFormat="1">
      <alignment horizontal="center" readingOrder="0" vertical="bottom"/>
    </xf>
    <xf borderId="2" fillId="6" fontId="5" numFmtId="165" xfId="0" applyAlignment="1" applyBorder="1" applyFont="1" applyNumberFormat="1">
      <alignment horizontal="center" vertical="bottom"/>
    </xf>
    <xf borderId="2" fillId="7" fontId="5" numFmtId="165" xfId="0" applyAlignment="1" applyBorder="1" applyFill="1" applyFont="1" applyNumberFormat="1">
      <alignment horizontal="center" vertical="bottom"/>
    </xf>
    <xf borderId="0" fillId="8" fontId="6" numFmtId="0" xfId="0" applyAlignment="1" applyFill="1" applyFont="1">
      <alignment horizontal="center" vertical="bottom"/>
    </xf>
    <xf borderId="0" fillId="9" fontId="7" numFmtId="0" xfId="0" applyAlignment="1" applyFill="1" applyFont="1">
      <alignment horizontal="center" shrinkToFit="0" vertical="bottom" wrapText="1"/>
    </xf>
    <xf borderId="0" fillId="9" fontId="8" numFmtId="0" xfId="0" applyAlignment="1" applyFont="1">
      <alignment horizontal="center" shrinkToFit="0" vertical="bottom" wrapText="1"/>
    </xf>
    <xf borderId="0" fillId="3" fontId="2" numFmtId="0" xfId="0" applyAlignment="1" applyFont="1">
      <alignment horizontal="center" readingOrder="0" vertical="bottom"/>
    </xf>
    <xf borderId="0" fillId="3" fontId="9" numFmtId="0" xfId="0" applyAlignment="1" applyFont="1">
      <alignment horizontal="center" readingOrder="0" vertical="bottom"/>
    </xf>
    <xf borderId="0" fillId="3" fontId="2" numFmtId="0" xfId="0" applyAlignment="1" applyFont="1">
      <alignment readingOrder="0" vertical="bottom"/>
    </xf>
    <xf borderId="0" fillId="3" fontId="10" numFmtId="0" xfId="0" applyAlignment="1" applyFont="1">
      <alignment horizontal="center" vertical="bottom"/>
    </xf>
    <xf borderId="0" fillId="10" fontId="2" numFmtId="0" xfId="0" applyAlignment="1" applyFill="1" applyFont="1">
      <alignment vertical="bottom"/>
    </xf>
    <xf borderId="0" fillId="11" fontId="2" numFmtId="0" xfId="0" applyAlignment="1" applyFill="1" applyFont="1">
      <alignment vertical="bottom"/>
    </xf>
    <xf borderId="0" fillId="12" fontId="2" numFmtId="0" xfId="0" applyAlignment="1" applyFill="1" applyFont="1">
      <alignment vertical="bottom"/>
    </xf>
    <xf borderId="3" fillId="12" fontId="2" numFmtId="0" xfId="0" applyAlignment="1" applyBorder="1" applyFont="1">
      <alignment vertical="bottom"/>
    </xf>
    <xf borderId="0" fillId="13" fontId="6" numFmtId="164" xfId="0" applyAlignment="1" applyFill="1" applyFont="1" applyNumberFormat="1">
      <alignment horizontal="center" vertical="bottom"/>
    </xf>
    <xf borderId="4" fillId="12" fontId="11" numFmtId="0" xfId="0" applyAlignment="1" applyBorder="1" applyFont="1">
      <alignment horizontal="center" vertical="bottom"/>
    </xf>
    <xf borderId="0" fillId="5" fontId="12" numFmtId="0" xfId="0" applyAlignment="1" applyFont="1">
      <alignment horizontal="center" vertical="bottom"/>
    </xf>
    <xf borderId="0" fillId="5" fontId="13" numFmtId="0" xfId="0" applyAlignment="1" applyFont="1">
      <alignment horizontal="center" vertical="bottom"/>
    </xf>
    <xf borderId="5" fillId="0" fontId="14" numFmtId="0" xfId="0" applyBorder="1" applyFont="1"/>
    <xf borderId="0" fillId="12" fontId="15" numFmtId="3" xfId="0" applyAlignment="1" applyFont="1" applyNumberFormat="1">
      <alignment horizontal="center" vertical="bottom"/>
    </xf>
    <xf borderId="0" fillId="14" fontId="16" numFmtId="4" xfId="0" applyAlignment="1" applyFill="1" applyFont="1" applyNumberFormat="1">
      <alignment horizontal="center" vertical="bottom"/>
    </xf>
    <xf borderId="0" fillId="14" fontId="2" numFmtId="4" xfId="0" applyAlignment="1" applyFont="1" applyNumberFormat="1">
      <alignment vertical="bottom"/>
    </xf>
    <xf borderId="0" fillId="14" fontId="2" numFmtId="164" xfId="0" applyAlignment="1" applyFont="1" applyNumberFormat="1">
      <alignment vertical="bottom"/>
    </xf>
    <xf borderId="5" fillId="12" fontId="17" numFmtId="0" xfId="0" applyAlignment="1" applyBorder="1" applyFont="1">
      <alignment horizontal="center" vertical="bottom"/>
    </xf>
    <xf borderId="6" fillId="0" fontId="14" numFmtId="0" xfId="0" applyBorder="1" applyFont="1"/>
    <xf borderId="0" fillId="15" fontId="12" numFmtId="0" xfId="0" applyAlignment="1" applyFill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16" fontId="12" numFmtId="0" xfId="0" applyAlignment="1" applyFill="1" applyFont="1">
      <alignment horizontal="center" vertical="bottom"/>
    </xf>
    <xf borderId="0" fillId="16" fontId="2" numFmtId="0" xfId="0" applyAlignment="1" applyFont="1">
      <alignment vertical="bottom"/>
    </xf>
    <xf borderId="0" fillId="7" fontId="2" numFmtId="166" xfId="0" applyAlignment="1" applyFont="1" applyNumberFormat="1">
      <alignment vertical="bottom"/>
    </xf>
    <xf borderId="0" fillId="17" fontId="2" numFmtId="4" xfId="0" applyAlignment="1" applyFill="1" applyFont="1" applyNumberFormat="1">
      <alignment vertical="bottom"/>
    </xf>
    <xf borderId="0" fillId="18" fontId="2" numFmtId="166" xfId="0" applyAlignment="1" applyFill="1" applyFont="1" applyNumberFormat="1">
      <alignment horizontal="center" vertical="bottom"/>
    </xf>
    <xf borderId="0" fillId="17" fontId="2" numFmtId="4" xfId="0" applyAlignment="1" applyFont="1" applyNumberFormat="1">
      <alignment horizontal="center" vertical="bottom"/>
    </xf>
    <xf borderId="0" fillId="12" fontId="18" numFmtId="164" xfId="0" applyAlignment="1" applyFont="1" applyNumberFormat="1">
      <alignment horizontal="center" vertical="center"/>
    </xf>
    <xf borderId="0" fillId="18" fontId="2" numFmtId="166" xfId="0" applyAlignment="1" applyFont="1" applyNumberFormat="1">
      <alignment horizontal="center" readingOrder="0" vertical="bottom"/>
    </xf>
    <xf borderId="0" fillId="17" fontId="19" numFmtId="4" xfId="0" applyAlignment="1" applyFont="1" applyNumberFormat="1">
      <alignment horizontal="center" readingOrder="0" vertical="bottom"/>
    </xf>
    <xf borderId="0" fillId="6" fontId="2" numFmtId="0" xfId="0" applyAlignment="1" applyFont="1">
      <alignment vertical="bottom"/>
    </xf>
    <xf borderId="0" fillId="6" fontId="2" numFmtId="164" xfId="0" applyAlignment="1" applyFont="1" applyNumberFormat="1">
      <alignment horizontal="center" vertical="bottom"/>
    </xf>
    <xf borderId="0" fillId="4" fontId="2" numFmtId="4" xfId="0" applyAlignment="1" applyFont="1" applyNumberFormat="1">
      <alignment vertical="bottom"/>
    </xf>
    <xf borderId="0" fillId="4" fontId="13" numFmtId="167" xfId="0" applyAlignment="1" applyFont="1" applyNumberFormat="1">
      <alignment horizontal="center" vertical="bottom"/>
    </xf>
    <xf borderId="0" fillId="4" fontId="2" numFmtId="167" xfId="0" applyAlignment="1" applyFont="1" applyNumberFormat="1">
      <alignment vertical="bottom"/>
    </xf>
    <xf borderId="0" fillId="6" fontId="20" numFmtId="0" xfId="0" applyAlignment="1" applyFont="1">
      <alignment horizontal="center" readingOrder="0" vertical="center"/>
    </xf>
    <xf borderId="0" fillId="19" fontId="21" numFmtId="0" xfId="0" applyAlignment="1" applyFill="1" applyFont="1">
      <alignment readingOrder="0" vertical="bottom"/>
    </xf>
    <xf borderId="0" fillId="0" fontId="2" numFmtId="4" xfId="0" applyAlignment="1" applyFont="1" applyNumberFormat="1">
      <alignment horizontal="center" vertical="bottom"/>
    </xf>
    <xf borderId="0" fillId="0" fontId="2" numFmtId="4" xfId="0" applyAlignment="1" applyFont="1" applyNumberFormat="1">
      <alignment vertical="bottom"/>
    </xf>
    <xf borderId="0" fillId="0" fontId="2" numFmtId="9" xfId="0" applyAlignment="1" applyFont="1" applyNumberFormat="1">
      <alignment vertical="bottom"/>
    </xf>
    <xf borderId="0" fillId="6" fontId="2" numFmtId="0" xfId="0" applyAlignment="1" applyFont="1">
      <alignment horizontal="center" vertical="bottom"/>
    </xf>
    <xf borderId="0" fillId="4" fontId="13" numFmtId="4" xfId="0" applyAlignment="1" applyFont="1" applyNumberFormat="1">
      <alignment horizontal="center" vertical="bottom"/>
    </xf>
    <xf borderId="0" fillId="10" fontId="2" numFmtId="0" xfId="0" applyAlignment="1" applyFont="1">
      <alignment horizontal="center" vertical="bottom"/>
    </xf>
    <xf borderId="0" fillId="0" fontId="5" numFmtId="4" xfId="0" applyAlignment="1" applyFont="1" applyNumberFormat="1">
      <alignment horizontal="center" vertical="bottom"/>
    </xf>
    <xf borderId="0" fillId="0" fontId="5" numFmtId="4" xfId="0" applyAlignment="1" applyFont="1" applyNumberFormat="1">
      <alignment horizontal="center" readingOrder="0" vertical="bottom"/>
    </xf>
    <xf borderId="0" fillId="17" fontId="2" numFmtId="167" xfId="0" applyAlignment="1" applyFont="1" applyNumberFormat="1">
      <alignment vertical="bottom"/>
    </xf>
    <xf borderId="0" fillId="7" fontId="2" numFmtId="168" xfId="0" applyAlignment="1" applyFont="1" applyNumberFormat="1">
      <alignment vertical="bottom"/>
    </xf>
    <xf borderId="0" fillId="12" fontId="2" numFmtId="164" xfId="0" applyAlignment="1" applyFont="1" applyNumberFormat="1">
      <alignment vertical="bottom"/>
    </xf>
    <xf borderId="0" fillId="17" fontId="2" numFmtId="0" xfId="0" applyAlignment="1" applyFont="1">
      <alignment vertical="bottom"/>
    </xf>
    <xf borderId="0" fillId="6" fontId="2" numFmtId="164" xfId="0" applyAlignment="1" applyFont="1" applyNumberFormat="1">
      <alignment vertical="bottom"/>
    </xf>
    <xf borderId="0" fillId="7" fontId="2" numFmtId="167" xfId="0" applyAlignment="1" applyFont="1" applyNumberFormat="1">
      <alignment vertical="bottom"/>
    </xf>
    <xf borderId="0" fillId="18" fontId="2" numFmtId="168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7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1581150</xdr:colOff>
      <xdr:row>0</xdr:row>
      <xdr:rowOff>0</xdr:rowOff>
    </xdr:from>
    <xdr:ext cx="2066925" cy="2457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7.5"/>
    <col customWidth="1" min="2" max="2" width="19.63"/>
    <col customWidth="1" min="3" max="3" width="19.13"/>
    <col customWidth="1" min="4" max="4" width="19.5"/>
    <col customWidth="1" min="5" max="5" width="21.0"/>
    <col customWidth="1" min="6" max="6" width="19.88"/>
    <col customWidth="1" min="7" max="7" width="21.5"/>
    <col customWidth="1" min="8" max="8" width="20.75"/>
    <col customWidth="1" min="9" max="9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2025.0</v>
      </c>
      <c r="D2" s="5" t="s">
        <v>10</v>
      </c>
      <c r="E2" s="5" t="s">
        <v>11</v>
      </c>
      <c r="F2" s="7" t="s">
        <v>12</v>
      </c>
      <c r="G2" s="8">
        <v>5800000.0</v>
      </c>
      <c r="H2" s="9">
        <v>800000.0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0"/>
      <c r="C3" s="10"/>
      <c r="D3" s="10"/>
      <c r="E3" s="10"/>
      <c r="F3" s="10"/>
      <c r="G3" s="10"/>
      <c r="H3" s="1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1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f>G2-H2</f>
        <v>5000000</v>
      </c>
      <c r="B5" s="13">
        <f>A5*1.741</f>
        <v>8705000</v>
      </c>
      <c r="C5" s="14">
        <f>A5+B5</f>
        <v>13705000</v>
      </c>
      <c r="D5" s="15">
        <v>18.0</v>
      </c>
      <c r="E5" s="16">
        <f>C5/D5</f>
        <v>761388.8889</v>
      </c>
      <c r="F5" s="16">
        <f t="shared" ref="F5:G5" si="1">E5/2</f>
        <v>380694.4444</v>
      </c>
      <c r="G5" s="17">
        <f t="shared" si="1"/>
        <v>190347.2222</v>
      </c>
      <c r="H5" s="16">
        <f>G5/6</f>
        <v>31724.53704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19" t="s">
        <v>26</v>
      </c>
      <c r="G6" s="20" t="s">
        <v>27</v>
      </c>
      <c r="H6" s="20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1" t="s">
        <v>29</v>
      </c>
      <c r="B7" s="22" t="s">
        <v>30</v>
      </c>
      <c r="C7" s="22">
        <v>2.7279566E7</v>
      </c>
      <c r="D7" s="23" t="s">
        <v>31</v>
      </c>
      <c r="E7" s="24"/>
      <c r="F7" s="24"/>
      <c r="G7" s="25"/>
      <c r="H7" s="2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7"/>
      <c r="B8" s="27"/>
      <c r="C8" s="27"/>
      <c r="D8" s="27"/>
      <c r="E8" s="28"/>
      <c r="F8" s="29">
        <v>380000.0</v>
      </c>
      <c r="G8" s="29">
        <v>280000.0</v>
      </c>
      <c r="H8" s="30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1" t="s">
        <v>32</v>
      </c>
      <c r="C9" s="32" t="s">
        <v>33</v>
      </c>
      <c r="E9" s="32" t="s">
        <v>34</v>
      </c>
      <c r="G9" s="32" t="s">
        <v>35</v>
      </c>
      <c r="H9" s="3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4">
        <f>I16+I26+I36+I46+I56+I66+I76</f>
        <v>4690000</v>
      </c>
      <c r="C10" s="35">
        <f>C5-A10+G8</f>
        <v>9295000</v>
      </c>
      <c r="E10" s="36"/>
      <c r="G10" s="37"/>
      <c r="H10" s="38">
        <f>I23+I33+I43+I53+I63+I73+I83+I93</f>
        <v>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3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0" t="s">
        <v>36</v>
      </c>
      <c r="E12" s="41"/>
      <c r="F12" s="42"/>
      <c r="G12" s="42"/>
      <c r="H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3" t="s">
        <v>37</v>
      </c>
      <c r="B15" s="43" t="s">
        <v>38</v>
      </c>
      <c r="C15" s="43" t="s">
        <v>37</v>
      </c>
      <c r="D15" s="43" t="s">
        <v>38</v>
      </c>
      <c r="E15" s="43" t="s">
        <v>37</v>
      </c>
      <c r="F15" s="43" t="s">
        <v>38</v>
      </c>
      <c r="G15" s="43" t="s">
        <v>37</v>
      </c>
      <c r="H15" s="43" t="s">
        <v>38</v>
      </c>
      <c r="I15" s="4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5"/>
      <c r="B16" s="46"/>
      <c r="C16" s="47">
        <v>45992.0</v>
      </c>
      <c r="D16" s="48">
        <v>190000.0</v>
      </c>
      <c r="E16" s="47">
        <v>45999.0</v>
      </c>
      <c r="F16" s="48">
        <v>190000.0</v>
      </c>
      <c r="G16" s="47">
        <v>46006.0</v>
      </c>
      <c r="H16" s="48">
        <v>190000.0</v>
      </c>
      <c r="I16" s="49">
        <f>B22+D22+F22+H22</f>
        <v>601000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5"/>
      <c r="B17" s="46"/>
      <c r="C17" s="47">
        <v>45993.0</v>
      </c>
      <c r="D17" s="46"/>
      <c r="E17" s="47">
        <v>46000.0</v>
      </c>
      <c r="F17" s="46"/>
      <c r="G17" s="47">
        <v>46007.0</v>
      </c>
      <c r="H17" s="4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5"/>
      <c r="B18" s="46"/>
      <c r="C18" s="47">
        <v>45994.0</v>
      </c>
      <c r="D18" s="46"/>
      <c r="E18" s="47">
        <v>46001.0</v>
      </c>
      <c r="F18" s="46"/>
      <c r="G18" s="47">
        <v>46008.0</v>
      </c>
      <c r="H18" s="46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5"/>
      <c r="B19" s="46"/>
      <c r="C19" s="47">
        <v>45995.0</v>
      </c>
      <c r="D19" s="46"/>
      <c r="E19" s="47">
        <v>46002.0</v>
      </c>
      <c r="F19" s="46"/>
      <c r="G19" s="47">
        <v>46009.0</v>
      </c>
      <c r="H19" s="46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5"/>
      <c r="B20" s="46"/>
      <c r="C20" s="47">
        <v>45996.0</v>
      </c>
      <c r="D20" s="46"/>
      <c r="E20" s="47">
        <v>46003.0</v>
      </c>
      <c r="F20" s="46"/>
      <c r="G20" s="47">
        <v>46010.0</v>
      </c>
      <c r="H20" s="46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0">
        <v>45990.0</v>
      </c>
      <c r="B21" s="51">
        <v>31000.0</v>
      </c>
      <c r="C21" s="47">
        <v>45997.0</v>
      </c>
      <c r="D21" s="46"/>
      <c r="E21" s="47">
        <v>46004.0</v>
      </c>
      <c r="F21" s="46"/>
      <c r="G21" s="47">
        <v>46011.0</v>
      </c>
      <c r="H21" s="4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2"/>
      <c r="B22" s="53">
        <f>B21</f>
        <v>31000</v>
      </c>
      <c r="C22" s="54"/>
      <c r="D22" s="55">
        <f>SUM(D16:D21)</f>
        <v>190000</v>
      </c>
      <c r="E22" s="56"/>
      <c r="F22" s="55">
        <f>SUM(F16:F21)</f>
        <v>190000</v>
      </c>
      <c r="G22" s="10"/>
      <c r="H22" s="55">
        <f>SUM(H16:H21)</f>
        <v>190000</v>
      </c>
      <c r="I22" s="57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7"/>
      <c r="B23" s="25"/>
      <c r="C23" s="27"/>
      <c r="D23" s="25"/>
      <c r="E23" s="27"/>
      <c r="F23" s="25"/>
      <c r="G23" s="27"/>
      <c r="H23" s="25"/>
      <c r="I23" s="58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3" t="s">
        <v>37</v>
      </c>
      <c r="B25" s="43" t="s">
        <v>38</v>
      </c>
      <c r="C25" s="43" t="s">
        <v>37</v>
      </c>
      <c r="D25" s="43" t="s">
        <v>38</v>
      </c>
      <c r="E25" s="43" t="s">
        <v>37</v>
      </c>
      <c r="F25" s="43" t="s">
        <v>38</v>
      </c>
      <c r="G25" s="43" t="s">
        <v>37</v>
      </c>
      <c r="H25" s="43" t="s">
        <v>38</v>
      </c>
      <c r="I25" s="4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7">
        <v>46013.0</v>
      </c>
      <c r="B26" s="48">
        <v>190000.0</v>
      </c>
      <c r="C26" s="47">
        <v>46020.0</v>
      </c>
      <c r="D26" s="59">
        <v>130000.0</v>
      </c>
      <c r="E26" s="47">
        <v>46027.0</v>
      </c>
      <c r="F26" s="59">
        <v>190000.0</v>
      </c>
      <c r="G26" s="47">
        <v>46034.0</v>
      </c>
      <c r="H26" s="59">
        <v>190000.0</v>
      </c>
      <c r="I26" s="49">
        <f>B32+D32+F32+H32</f>
        <v>700000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7">
        <v>46014.0</v>
      </c>
      <c r="B27" s="60"/>
      <c r="C27" s="47">
        <v>46021.0</v>
      </c>
      <c r="D27" s="60"/>
      <c r="E27" s="47">
        <v>46028.0</v>
      </c>
      <c r="F27" s="60"/>
      <c r="G27" s="47">
        <v>46035.0</v>
      </c>
      <c r="H27" s="6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7">
        <v>46015.0</v>
      </c>
      <c r="B28" s="60"/>
      <c r="C28" s="47">
        <v>46022.0</v>
      </c>
      <c r="D28" s="46"/>
      <c r="E28" s="47">
        <v>46029.0</v>
      </c>
      <c r="F28" s="46"/>
      <c r="G28" s="47">
        <v>46036.0</v>
      </c>
      <c r="H28" s="4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7">
        <v>46016.0</v>
      </c>
      <c r="B29" s="60"/>
      <c r="C29" s="47">
        <v>46023.0</v>
      </c>
      <c r="D29" s="60"/>
      <c r="E29" s="47">
        <v>46030.0</v>
      </c>
      <c r="F29" s="60"/>
      <c r="G29" s="47">
        <v>46037.0</v>
      </c>
      <c r="H29" s="6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7">
        <v>46017.0</v>
      </c>
      <c r="B30" s="60"/>
      <c r="C30" s="47">
        <v>46024.0</v>
      </c>
      <c r="D30" s="60"/>
      <c r="E30" s="47">
        <v>46031.0</v>
      </c>
      <c r="F30" s="60"/>
      <c r="G30" s="47">
        <v>46038.0</v>
      </c>
      <c r="H30" s="6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7">
        <v>46018.0</v>
      </c>
      <c r="B31" s="60"/>
      <c r="C31" s="47">
        <v>46025.0</v>
      </c>
      <c r="D31" s="60"/>
      <c r="E31" s="47">
        <v>46032.0</v>
      </c>
      <c r="F31" s="60"/>
      <c r="G31" s="47">
        <v>46039.0</v>
      </c>
      <c r="H31" s="6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2"/>
      <c r="B32" s="53">
        <f>B26</f>
        <v>190000</v>
      </c>
      <c r="C32" s="62"/>
      <c r="D32" s="53">
        <f>D26</f>
        <v>130000</v>
      </c>
      <c r="E32" s="62"/>
      <c r="F32" s="53">
        <f>F26</f>
        <v>190000</v>
      </c>
      <c r="G32" s="62"/>
      <c r="H32" s="53">
        <f>H26</f>
        <v>190000</v>
      </c>
      <c r="I32" s="57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7"/>
      <c r="B33" s="25"/>
      <c r="C33" s="27"/>
      <c r="D33" s="25"/>
      <c r="E33" s="27"/>
      <c r="F33" s="25"/>
      <c r="G33" s="27"/>
      <c r="H33" s="25"/>
      <c r="I33" s="58">
        <v>1.0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3" t="s">
        <v>37</v>
      </c>
      <c r="B35" s="43" t="s">
        <v>38</v>
      </c>
      <c r="C35" s="43" t="s">
        <v>37</v>
      </c>
      <c r="D35" s="43" t="s">
        <v>38</v>
      </c>
      <c r="E35" s="43" t="s">
        <v>37</v>
      </c>
      <c r="F35" s="43" t="s">
        <v>38</v>
      </c>
      <c r="G35" s="43" t="s">
        <v>37</v>
      </c>
      <c r="H35" s="43" t="s">
        <v>38</v>
      </c>
      <c r="I35" s="4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7">
        <v>46041.0</v>
      </c>
      <c r="B36" s="59">
        <v>190000.0</v>
      </c>
      <c r="C36" s="47">
        <v>46048.0</v>
      </c>
      <c r="D36" s="59">
        <v>190000.0</v>
      </c>
      <c r="E36" s="47">
        <v>46055.0</v>
      </c>
      <c r="F36" s="59">
        <v>190000.0</v>
      </c>
      <c r="G36" s="47">
        <v>46062.0</v>
      </c>
      <c r="H36" s="59">
        <v>190000.0</v>
      </c>
      <c r="I36" s="49">
        <f>B42+D42+F42+H42</f>
        <v>760000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7">
        <v>46042.0</v>
      </c>
      <c r="B37" s="60"/>
      <c r="C37" s="47">
        <v>46049.0</v>
      </c>
      <c r="D37" s="60"/>
      <c r="E37" s="47">
        <v>46056.0</v>
      </c>
      <c r="F37" s="60"/>
      <c r="G37" s="47">
        <v>46063.0</v>
      </c>
      <c r="H37" s="6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7">
        <v>46043.0</v>
      </c>
      <c r="B38" s="60"/>
      <c r="C38" s="47">
        <v>46050.0</v>
      </c>
      <c r="D38" s="60"/>
      <c r="E38" s="47">
        <v>46057.0</v>
      </c>
      <c r="F38" s="60"/>
      <c r="G38" s="47">
        <v>46064.0</v>
      </c>
      <c r="H38" s="6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7">
        <v>46044.0</v>
      </c>
      <c r="B39" s="60"/>
      <c r="C39" s="47">
        <v>46051.0</v>
      </c>
      <c r="D39" s="60"/>
      <c r="E39" s="47">
        <v>46058.0</v>
      </c>
      <c r="F39" s="60"/>
      <c r="G39" s="47">
        <v>46065.0</v>
      </c>
      <c r="H39" s="6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7">
        <v>46045.0</v>
      </c>
      <c r="B40" s="60"/>
      <c r="C40" s="47">
        <v>46052.0</v>
      </c>
      <c r="D40" s="60"/>
      <c r="E40" s="47">
        <v>46059.0</v>
      </c>
      <c r="F40" s="60"/>
      <c r="G40" s="47">
        <v>46066.0</v>
      </c>
      <c r="H40" s="6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7">
        <v>46046.0</v>
      </c>
      <c r="B41" s="60"/>
      <c r="C41" s="47">
        <v>46053.0</v>
      </c>
      <c r="D41" s="60"/>
      <c r="E41" s="47">
        <v>46060.0</v>
      </c>
      <c r="F41" s="60"/>
      <c r="G41" s="47">
        <v>46067.0</v>
      </c>
      <c r="H41" s="60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0"/>
      <c r="B42" s="63">
        <f>B36</f>
        <v>190000</v>
      </c>
      <c r="C42" s="54"/>
      <c r="D42" s="55">
        <f>D36</f>
        <v>190000</v>
      </c>
      <c r="E42" s="56"/>
      <c r="F42" s="55">
        <f>F36</f>
        <v>190000</v>
      </c>
      <c r="G42" s="10"/>
      <c r="H42" s="55">
        <f>SUM(H36:H41)</f>
        <v>190000</v>
      </c>
      <c r="I42" s="57">
        <v>3.0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7"/>
      <c r="B43" s="25"/>
      <c r="C43" s="27"/>
      <c r="D43" s="25"/>
      <c r="E43" s="27"/>
      <c r="F43" s="25"/>
      <c r="G43" s="27"/>
      <c r="H43" s="25"/>
      <c r="I43" s="58">
        <v>1.0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0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3" t="s">
        <v>37</v>
      </c>
      <c r="B45" s="43" t="s">
        <v>38</v>
      </c>
      <c r="C45" s="43" t="s">
        <v>37</v>
      </c>
      <c r="D45" s="43" t="s">
        <v>38</v>
      </c>
      <c r="E45" s="43" t="s">
        <v>37</v>
      </c>
      <c r="F45" s="43" t="s">
        <v>38</v>
      </c>
      <c r="G45" s="43" t="s">
        <v>37</v>
      </c>
      <c r="H45" s="43" t="s">
        <v>38</v>
      </c>
      <c r="I45" s="44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0">
        <v>46069.0</v>
      </c>
      <c r="B46" s="59">
        <v>190000.0</v>
      </c>
      <c r="C46" s="50">
        <v>46076.0</v>
      </c>
      <c r="D46" s="59">
        <v>190000.0</v>
      </c>
      <c r="E46" s="50">
        <v>46083.0</v>
      </c>
      <c r="F46" s="59">
        <v>190000.0</v>
      </c>
      <c r="G46" s="50">
        <v>46090.0</v>
      </c>
      <c r="H46" s="59">
        <v>190000.0</v>
      </c>
      <c r="I46" s="49">
        <f>B52+D52+F52+H52</f>
        <v>760000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0">
        <v>46070.0</v>
      </c>
      <c r="B47" s="46"/>
      <c r="C47" s="50">
        <v>46077.0</v>
      </c>
      <c r="D47" s="46"/>
      <c r="E47" s="50">
        <v>46084.0</v>
      </c>
      <c r="F47" s="46"/>
      <c r="G47" s="50">
        <v>46091.0</v>
      </c>
      <c r="H47" s="4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0">
        <v>46071.0</v>
      </c>
      <c r="B48" s="46"/>
      <c r="C48" s="50">
        <v>46078.0</v>
      </c>
      <c r="D48" s="46"/>
      <c r="E48" s="50">
        <v>46085.0</v>
      </c>
      <c r="F48" s="46"/>
      <c r="G48" s="50">
        <v>46092.0</v>
      </c>
      <c r="H48" s="4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0">
        <v>46072.0</v>
      </c>
      <c r="B49" s="46"/>
      <c r="C49" s="50">
        <v>46079.0</v>
      </c>
      <c r="D49" s="46"/>
      <c r="E49" s="50">
        <v>46086.0</v>
      </c>
      <c r="F49" s="46"/>
      <c r="G49" s="50">
        <v>46093.0</v>
      </c>
      <c r="H49" s="4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0">
        <v>46073.0</v>
      </c>
      <c r="B50" s="46"/>
      <c r="C50" s="50">
        <v>46080.0</v>
      </c>
      <c r="D50" s="46"/>
      <c r="E50" s="50">
        <v>46087.0</v>
      </c>
      <c r="F50" s="46"/>
      <c r="G50" s="50">
        <v>46094.0</v>
      </c>
      <c r="H50" s="4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0">
        <v>46074.0</v>
      </c>
      <c r="B51" s="46"/>
      <c r="C51" s="50">
        <v>46081.0</v>
      </c>
      <c r="D51" s="46"/>
      <c r="E51" s="50">
        <v>46088.0</v>
      </c>
      <c r="F51" s="46"/>
      <c r="G51" s="50">
        <v>46095.0</v>
      </c>
      <c r="H51" s="4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2"/>
      <c r="B52" s="53">
        <f>SUM(B46:B51)</f>
        <v>190000</v>
      </c>
      <c r="C52" s="52"/>
      <c r="D52" s="53">
        <f>SUM(D46:D51)</f>
        <v>190000</v>
      </c>
      <c r="E52" s="52"/>
      <c r="F52" s="53">
        <f>SUM(F46:F51)</f>
        <v>190000</v>
      </c>
      <c r="G52" s="52"/>
      <c r="H52" s="53">
        <f>SUM(H46:H51)</f>
        <v>190000</v>
      </c>
      <c r="I52" s="57">
        <v>4.0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7"/>
      <c r="B53" s="25"/>
      <c r="C53" s="27"/>
      <c r="D53" s="64"/>
      <c r="E53" s="27"/>
      <c r="F53" s="25"/>
      <c r="G53" s="27"/>
      <c r="H53" s="64"/>
      <c r="I53" s="58">
        <v>1.0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0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3" t="s">
        <v>37</v>
      </c>
      <c r="B55" s="43" t="s">
        <v>38</v>
      </c>
      <c r="C55" s="43" t="s">
        <v>37</v>
      </c>
      <c r="D55" s="43" t="s">
        <v>38</v>
      </c>
      <c r="E55" s="43" t="s">
        <v>37</v>
      </c>
      <c r="F55" s="43" t="s">
        <v>38</v>
      </c>
      <c r="G55" s="43" t="s">
        <v>37</v>
      </c>
      <c r="H55" s="43" t="s">
        <v>38</v>
      </c>
      <c r="I55" s="4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0">
        <v>46097.0</v>
      </c>
      <c r="B56" s="65">
        <v>190000.0</v>
      </c>
      <c r="C56" s="50">
        <v>46104.0</v>
      </c>
      <c r="D56" s="65">
        <v>190000.0</v>
      </c>
      <c r="E56" s="50">
        <v>46111.0</v>
      </c>
      <c r="F56" s="66">
        <v>159000.0</v>
      </c>
      <c r="G56" s="50">
        <v>46118.0</v>
      </c>
      <c r="H56" s="65">
        <v>190000.0</v>
      </c>
      <c r="I56" s="49">
        <f>B62+D62+F62+H62</f>
        <v>729000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0">
        <v>46098.0</v>
      </c>
      <c r="B57" s="46"/>
      <c r="C57" s="50">
        <v>46105.0</v>
      </c>
      <c r="D57" s="46"/>
      <c r="E57" s="50">
        <v>46112.0</v>
      </c>
      <c r="F57" s="46"/>
      <c r="G57" s="50">
        <v>46119.0</v>
      </c>
      <c r="H57" s="4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0">
        <v>46099.0</v>
      </c>
      <c r="B58" s="46"/>
      <c r="C58" s="50">
        <v>46106.0</v>
      </c>
      <c r="D58" s="46"/>
      <c r="E58" s="50">
        <v>46113.0</v>
      </c>
      <c r="F58" s="46"/>
      <c r="G58" s="50">
        <v>46120.0</v>
      </c>
      <c r="H58" s="4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0">
        <v>46100.0</v>
      </c>
      <c r="B59" s="46"/>
      <c r="C59" s="50">
        <v>46107.0</v>
      </c>
      <c r="D59" s="46"/>
      <c r="E59" s="50">
        <v>46114.0</v>
      </c>
      <c r="F59" s="46"/>
      <c r="G59" s="50">
        <v>46121.0</v>
      </c>
      <c r="H59" s="4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0">
        <v>46101.0</v>
      </c>
      <c r="B60" s="46"/>
      <c r="C60" s="50">
        <v>46108.0</v>
      </c>
      <c r="D60" s="46"/>
      <c r="E60" s="50">
        <v>46115.0</v>
      </c>
      <c r="F60" s="46"/>
      <c r="G60" s="50">
        <v>46122.0</v>
      </c>
      <c r="H60" s="4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0">
        <v>46102.0</v>
      </c>
      <c r="B61" s="46"/>
      <c r="C61" s="50">
        <v>46109.0</v>
      </c>
      <c r="D61" s="46"/>
      <c r="E61" s="50">
        <v>46116.0</v>
      </c>
      <c r="F61" s="46"/>
      <c r="G61" s="50">
        <v>46123.0</v>
      </c>
      <c r="H61" s="4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2"/>
      <c r="B62" s="53">
        <f>SUM(B56:B61)</f>
        <v>190000</v>
      </c>
      <c r="C62" s="52"/>
      <c r="D62" s="53">
        <f>SUM(D56:D61)</f>
        <v>190000</v>
      </c>
      <c r="E62" s="52"/>
      <c r="F62" s="53">
        <f>SUM(F56:F61)</f>
        <v>159000</v>
      </c>
      <c r="G62" s="52"/>
      <c r="H62" s="53">
        <f>SUM(H56:H61)</f>
        <v>190000</v>
      </c>
      <c r="I62" s="57">
        <v>5.0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7"/>
      <c r="B63" s="25"/>
      <c r="C63" s="27"/>
      <c r="D63" s="25"/>
      <c r="E63" s="27"/>
      <c r="F63" s="25"/>
      <c r="G63" s="27"/>
      <c r="H63" s="25"/>
      <c r="I63" s="58">
        <v>1.0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0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3" t="s">
        <v>37</v>
      </c>
      <c r="B65" s="43" t="s">
        <v>38</v>
      </c>
      <c r="C65" s="43" t="s">
        <v>37</v>
      </c>
      <c r="D65" s="43" t="s">
        <v>38</v>
      </c>
      <c r="E65" s="43" t="s">
        <v>37</v>
      </c>
      <c r="F65" s="43" t="s">
        <v>38</v>
      </c>
      <c r="G65" s="43" t="s">
        <v>37</v>
      </c>
      <c r="H65" s="43" t="s">
        <v>38</v>
      </c>
      <c r="I65" s="44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0">
        <v>46125.0</v>
      </c>
      <c r="B66" s="65">
        <v>190000.0</v>
      </c>
      <c r="C66" s="50">
        <v>46132.0</v>
      </c>
      <c r="D66" s="65">
        <v>190000.0</v>
      </c>
      <c r="E66" s="50">
        <v>46139.0</v>
      </c>
      <c r="F66" s="65">
        <v>190000.0</v>
      </c>
      <c r="G66" s="50">
        <v>46146.0</v>
      </c>
      <c r="H66" s="65">
        <v>190000.0</v>
      </c>
      <c r="I66" s="49">
        <f>B72+D72+F72+H72</f>
        <v>760000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0">
        <v>46126.0</v>
      </c>
      <c r="B67" s="46"/>
      <c r="C67" s="50">
        <v>46133.0</v>
      </c>
      <c r="D67" s="46"/>
      <c r="E67" s="50">
        <v>46140.0</v>
      </c>
      <c r="F67" s="46"/>
      <c r="G67" s="50">
        <v>46147.0</v>
      </c>
      <c r="H67" s="4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0">
        <v>46127.0</v>
      </c>
      <c r="B68" s="46"/>
      <c r="C68" s="50">
        <v>46134.0</v>
      </c>
      <c r="D68" s="46"/>
      <c r="E68" s="50">
        <v>46141.0</v>
      </c>
      <c r="F68" s="46"/>
      <c r="G68" s="50">
        <v>46148.0</v>
      </c>
      <c r="H68" s="4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0">
        <v>46128.0</v>
      </c>
      <c r="B69" s="46"/>
      <c r="C69" s="50">
        <v>46135.0</v>
      </c>
      <c r="D69" s="46"/>
      <c r="E69" s="50">
        <v>46142.0</v>
      </c>
      <c r="F69" s="46"/>
      <c r="G69" s="50">
        <v>46149.0</v>
      </c>
      <c r="H69" s="4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0">
        <v>46129.0</v>
      </c>
      <c r="B70" s="46"/>
      <c r="C70" s="50">
        <v>46136.0</v>
      </c>
      <c r="D70" s="46"/>
      <c r="E70" s="50">
        <v>46143.0</v>
      </c>
      <c r="F70" s="46"/>
      <c r="G70" s="50">
        <v>46150.0</v>
      </c>
      <c r="H70" s="4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0">
        <v>46130.0</v>
      </c>
      <c r="B71" s="46"/>
      <c r="C71" s="50">
        <v>46137.0</v>
      </c>
      <c r="D71" s="46"/>
      <c r="E71" s="50">
        <v>46144.0</v>
      </c>
      <c r="F71" s="46"/>
      <c r="G71" s="50">
        <v>46151.0</v>
      </c>
      <c r="H71" s="4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2"/>
      <c r="B72" s="53">
        <f>SUM(B66:B71)</f>
        <v>190000</v>
      </c>
      <c r="C72" s="52"/>
      <c r="D72" s="53">
        <f>SUM(D66:D71)</f>
        <v>190000</v>
      </c>
      <c r="E72" s="52"/>
      <c r="F72" s="53">
        <f>SUM(F66:F71)</f>
        <v>190000</v>
      </c>
      <c r="G72" s="52"/>
      <c r="H72" s="53">
        <f>SUM(H66:H71)</f>
        <v>190000</v>
      </c>
      <c r="I72" s="57">
        <v>6.0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7"/>
      <c r="B73" s="25"/>
      <c r="C73" s="27"/>
      <c r="D73" s="25"/>
      <c r="E73" s="27"/>
      <c r="F73" s="25"/>
      <c r="G73" s="27"/>
      <c r="H73" s="25"/>
      <c r="I73" s="58">
        <v>1.0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0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3" t="s">
        <v>37</v>
      </c>
      <c r="B75" s="43" t="s">
        <v>38</v>
      </c>
      <c r="C75" s="43" t="s">
        <v>37</v>
      </c>
      <c r="D75" s="43" t="s">
        <v>38</v>
      </c>
      <c r="E75" s="43" t="s">
        <v>37</v>
      </c>
      <c r="F75" s="43" t="s">
        <v>38</v>
      </c>
      <c r="G75" s="43" t="s">
        <v>37</v>
      </c>
      <c r="H75" s="43" t="s">
        <v>38</v>
      </c>
      <c r="I75" s="44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0">
        <v>46153.0</v>
      </c>
      <c r="B76" s="65">
        <v>190000.0</v>
      </c>
      <c r="C76" s="50">
        <v>46160.0</v>
      </c>
      <c r="D76" s="65">
        <v>190000.0</v>
      </c>
      <c r="E76" s="50">
        <v>46167.0</v>
      </c>
      <c r="F76" s="46"/>
      <c r="G76" s="50">
        <v>46174.0</v>
      </c>
      <c r="H76" s="46"/>
      <c r="I76" s="49">
        <f>B82+D82+F82+H82</f>
        <v>380000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0">
        <v>46154.0</v>
      </c>
      <c r="B77" s="46"/>
      <c r="C77" s="50">
        <v>46161.0</v>
      </c>
      <c r="D77" s="46"/>
      <c r="E77" s="50">
        <v>46168.0</v>
      </c>
      <c r="F77" s="46"/>
      <c r="G77" s="50">
        <v>46175.0</v>
      </c>
      <c r="H77" s="4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0">
        <v>46155.0</v>
      </c>
      <c r="B78" s="46"/>
      <c r="C78" s="50">
        <v>46162.0</v>
      </c>
      <c r="D78" s="46"/>
      <c r="E78" s="50">
        <v>46169.0</v>
      </c>
      <c r="F78" s="46"/>
      <c r="G78" s="50">
        <v>46176.0</v>
      </c>
      <c r="H78" s="4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0">
        <v>46156.0</v>
      </c>
      <c r="B79" s="46"/>
      <c r="C79" s="50">
        <v>46163.0</v>
      </c>
      <c r="D79" s="46"/>
      <c r="E79" s="50">
        <v>46170.0</v>
      </c>
      <c r="F79" s="46"/>
      <c r="G79" s="50">
        <v>46177.0</v>
      </c>
      <c r="H79" s="4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0">
        <v>46157.0</v>
      </c>
      <c r="B80" s="46"/>
      <c r="C80" s="50">
        <v>46164.0</v>
      </c>
      <c r="D80" s="46"/>
      <c r="E80" s="50">
        <v>46171.0</v>
      </c>
      <c r="F80" s="46"/>
      <c r="G80" s="50">
        <v>46178.0</v>
      </c>
      <c r="H80" s="4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0">
        <v>46158.0</v>
      </c>
      <c r="B81" s="46"/>
      <c r="C81" s="50">
        <v>46165.0</v>
      </c>
      <c r="D81" s="46"/>
      <c r="E81" s="50">
        <v>46172.0</v>
      </c>
      <c r="F81" s="46"/>
      <c r="G81" s="50">
        <v>46179.0</v>
      </c>
      <c r="H81" s="4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2"/>
      <c r="B82" s="53">
        <f>SUM(B76:B81)</f>
        <v>190000</v>
      </c>
      <c r="C82" s="52"/>
      <c r="D82" s="53">
        <f>SUM(D76:D81)</f>
        <v>190000</v>
      </c>
      <c r="E82" s="52"/>
      <c r="F82" s="53">
        <f>SUM(F76:F81)</f>
        <v>0</v>
      </c>
      <c r="G82" s="52"/>
      <c r="H82" s="53">
        <f>SUM(H76:H81)</f>
        <v>0</v>
      </c>
      <c r="I82" s="57">
        <v>7.0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7"/>
      <c r="B83" s="25"/>
      <c r="C83" s="27"/>
      <c r="D83" s="25"/>
      <c r="E83" s="27"/>
      <c r="F83" s="25"/>
      <c r="G83" s="27"/>
      <c r="H83" s="25"/>
      <c r="I83" s="58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0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3" t="s">
        <v>37</v>
      </c>
      <c r="B85" s="43" t="s">
        <v>38</v>
      </c>
      <c r="C85" s="43" t="s">
        <v>37</v>
      </c>
      <c r="D85" s="43" t="s">
        <v>38</v>
      </c>
      <c r="E85" s="43" t="s">
        <v>37</v>
      </c>
      <c r="F85" s="43" t="s">
        <v>38</v>
      </c>
      <c r="G85" s="43" t="s">
        <v>37</v>
      </c>
      <c r="H85" s="43" t="s">
        <v>38</v>
      </c>
      <c r="I85" s="4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0">
        <v>46181.0</v>
      </c>
      <c r="B86" s="59"/>
      <c r="C86" s="50">
        <v>46188.0</v>
      </c>
      <c r="D86" s="46"/>
      <c r="E86" s="50">
        <v>46195.0</v>
      </c>
      <c r="F86" s="46"/>
      <c r="G86" s="50">
        <v>46202.0</v>
      </c>
      <c r="H86" s="46"/>
      <c r="I86" s="49">
        <f>B92+D92+F92+H92</f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0">
        <v>46182.0</v>
      </c>
      <c r="B87" s="46"/>
      <c r="C87" s="50">
        <v>46189.0</v>
      </c>
      <c r="D87" s="46"/>
      <c r="E87" s="50">
        <v>46196.0</v>
      </c>
      <c r="F87" s="46"/>
      <c r="G87" s="50">
        <v>46203.0</v>
      </c>
      <c r="H87" s="4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0">
        <v>46183.0</v>
      </c>
      <c r="B88" s="46"/>
      <c r="C88" s="50">
        <v>46190.0</v>
      </c>
      <c r="D88" s="46"/>
      <c r="E88" s="50">
        <v>46197.0</v>
      </c>
      <c r="F88" s="46"/>
      <c r="G88" s="50">
        <v>46204.0</v>
      </c>
      <c r="H88" s="4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0">
        <v>46184.0</v>
      </c>
      <c r="B89" s="46"/>
      <c r="C89" s="50">
        <v>46191.0</v>
      </c>
      <c r="D89" s="46"/>
      <c r="E89" s="50">
        <v>46198.0</v>
      </c>
      <c r="F89" s="46"/>
      <c r="G89" s="50">
        <v>46205.0</v>
      </c>
      <c r="H89" s="4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0">
        <v>46185.0</v>
      </c>
      <c r="B90" s="46"/>
      <c r="C90" s="50">
        <v>46192.0</v>
      </c>
      <c r="D90" s="46"/>
      <c r="E90" s="50">
        <v>46199.0</v>
      </c>
      <c r="F90" s="46"/>
      <c r="G90" s="50">
        <v>46206.0</v>
      </c>
      <c r="H90" s="4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0">
        <v>46186.0</v>
      </c>
      <c r="B91" s="46"/>
      <c r="C91" s="50">
        <v>46193.0</v>
      </c>
      <c r="D91" s="46"/>
      <c r="E91" s="50">
        <v>46200.0</v>
      </c>
      <c r="F91" s="46"/>
      <c r="G91" s="50">
        <v>46207.0</v>
      </c>
      <c r="H91" s="4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2"/>
      <c r="B92" s="53">
        <f>SUM(B86:B91)</f>
        <v>0</v>
      </c>
      <c r="C92" s="52"/>
      <c r="D92" s="53">
        <f>SUM(D86:D91)</f>
        <v>0</v>
      </c>
      <c r="E92" s="52"/>
      <c r="F92" s="53">
        <f>SUM(F86:F91)</f>
        <v>0</v>
      </c>
      <c r="G92" s="52"/>
      <c r="H92" s="53">
        <f>SUM(H86:H91)</f>
        <v>0</v>
      </c>
      <c r="I92" s="57">
        <v>8.0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7"/>
      <c r="B93" s="25"/>
      <c r="C93" s="27"/>
      <c r="D93" s="25"/>
      <c r="E93" s="27"/>
      <c r="F93" s="25"/>
      <c r="G93" s="27"/>
      <c r="H93" s="25"/>
      <c r="I93" s="58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0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0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5"/>
      <c r="B97" s="67"/>
      <c r="C97" s="45"/>
      <c r="D97" s="67"/>
      <c r="E97" s="45"/>
      <c r="F97" s="67"/>
      <c r="G97" s="68"/>
      <c r="H97" s="67"/>
      <c r="I97" s="69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5"/>
      <c r="B98" s="70"/>
      <c r="C98" s="45"/>
      <c r="D98" s="70"/>
      <c r="E98" s="45"/>
      <c r="F98" s="70"/>
      <c r="G98" s="68"/>
      <c r="H98" s="70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5"/>
      <c r="B99" s="70"/>
      <c r="C99" s="45"/>
      <c r="D99" s="70"/>
      <c r="E99" s="45"/>
      <c r="F99" s="70"/>
      <c r="G99" s="68"/>
      <c r="H99" s="70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5"/>
      <c r="B100" s="70"/>
      <c r="C100" s="45"/>
      <c r="D100" s="70"/>
      <c r="E100" s="45"/>
      <c r="F100" s="70"/>
      <c r="G100" s="68"/>
      <c r="H100" s="70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5"/>
      <c r="B101" s="70"/>
      <c r="C101" s="45"/>
      <c r="D101" s="70"/>
      <c r="E101" s="45"/>
      <c r="F101" s="70"/>
      <c r="G101" s="68"/>
      <c r="H101" s="70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5"/>
      <c r="B102" s="70"/>
      <c r="C102" s="45"/>
      <c r="D102" s="70"/>
      <c r="E102" s="45"/>
      <c r="F102" s="70"/>
      <c r="G102" s="68"/>
      <c r="H102" s="70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2"/>
      <c r="B103" s="71"/>
      <c r="C103" s="52"/>
      <c r="D103" s="71"/>
      <c r="E103" s="52"/>
      <c r="F103" s="71"/>
      <c r="G103" s="52"/>
      <c r="H103" s="71"/>
      <c r="I103" s="5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7"/>
      <c r="B104" s="25"/>
      <c r="C104" s="27"/>
      <c r="D104" s="25"/>
      <c r="E104" s="27"/>
      <c r="F104" s="25"/>
      <c r="G104" s="27"/>
      <c r="H104" s="25"/>
      <c r="I104" s="27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0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68"/>
      <c r="B107" s="72"/>
      <c r="C107" s="73"/>
      <c r="D107" s="74"/>
      <c r="E107" s="73"/>
      <c r="F107" s="74"/>
      <c r="G107" s="73"/>
      <c r="H107" s="74"/>
      <c r="I107" s="69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68"/>
      <c r="B108" s="75"/>
      <c r="C108" s="73"/>
      <c r="D108" s="3"/>
      <c r="E108" s="73"/>
      <c r="F108" s="3"/>
      <c r="G108" s="73"/>
      <c r="H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8"/>
      <c r="B109" s="75"/>
      <c r="C109" s="73"/>
      <c r="D109" s="3"/>
      <c r="E109" s="73"/>
      <c r="F109" s="3"/>
      <c r="G109" s="73"/>
      <c r="H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68"/>
      <c r="B110" s="75"/>
      <c r="C110" s="73"/>
      <c r="D110" s="3"/>
      <c r="E110" s="73"/>
      <c r="F110" s="3"/>
      <c r="G110" s="73"/>
      <c r="H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68"/>
      <c r="B111" s="75"/>
      <c r="C111" s="73"/>
      <c r="D111" s="3"/>
      <c r="E111" s="73"/>
      <c r="F111" s="3"/>
      <c r="G111" s="73"/>
      <c r="H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68"/>
      <c r="B112" s="75"/>
      <c r="C112" s="73"/>
      <c r="D112" s="3"/>
      <c r="E112" s="73"/>
      <c r="F112" s="3"/>
      <c r="G112" s="73"/>
      <c r="H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2"/>
      <c r="B113" s="71"/>
      <c r="C113" s="52"/>
      <c r="D113" s="71"/>
      <c r="E113" s="52"/>
      <c r="F113" s="71"/>
      <c r="G113" s="52"/>
      <c r="H113" s="71"/>
      <c r="I113" s="5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7"/>
      <c r="B114" s="25"/>
      <c r="C114" s="27"/>
      <c r="D114" s="25"/>
      <c r="E114" s="27"/>
      <c r="F114" s="25"/>
      <c r="G114" s="27"/>
      <c r="H114" s="25"/>
      <c r="I114" s="27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0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73"/>
      <c r="B117" s="72"/>
      <c r="C117" s="73"/>
      <c r="D117" s="74"/>
      <c r="E117" s="73"/>
      <c r="F117" s="74"/>
      <c r="G117" s="73"/>
      <c r="H117" s="74"/>
      <c r="I117" s="69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73"/>
      <c r="B118" s="75"/>
      <c r="C118" s="73"/>
      <c r="D118" s="3"/>
      <c r="E118" s="73"/>
      <c r="F118" s="3"/>
      <c r="G118" s="73"/>
      <c r="H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73"/>
      <c r="B119" s="75"/>
      <c r="C119" s="73"/>
      <c r="D119" s="3"/>
      <c r="E119" s="73"/>
      <c r="F119" s="3"/>
      <c r="G119" s="73"/>
      <c r="H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73"/>
      <c r="B120" s="75"/>
      <c r="C120" s="73"/>
      <c r="D120" s="3"/>
      <c r="E120" s="73"/>
      <c r="F120" s="3"/>
      <c r="G120" s="73"/>
      <c r="H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73"/>
      <c r="B121" s="75"/>
      <c r="C121" s="73"/>
      <c r="D121" s="3"/>
      <c r="E121" s="73"/>
      <c r="F121" s="3"/>
      <c r="G121" s="73"/>
      <c r="H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73"/>
      <c r="B122" s="75"/>
      <c r="C122" s="73"/>
      <c r="D122" s="3"/>
      <c r="E122" s="73"/>
      <c r="F122" s="3"/>
      <c r="G122" s="73"/>
      <c r="H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2"/>
      <c r="B123" s="71"/>
      <c r="C123" s="52"/>
      <c r="D123" s="71"/>
      <c r="E123" s="52"/>
      <c r="F123" s="71"/>
      <c r="G123" s="52"/>
      <c r="H123" s="71"/>
      <c r="I123" s="5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7"/>
      <c r="B124" s="25"/>
      <c r="C124" s="27"/>
      <c r="D124" s="25"/>
      <c r="E124" s="27"/>
      <c r="F124" s="25"/>
      <c r="G124" s="27"/>
      <c r="H124" s="25"/>
      <c r="I124" s="27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0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73"/>
      <c r="B127" s="72"/>
      <c r="C127" s="73"/>
      <c r="D127" s="74"/>
      <c r="E127" s="73"/>
      <c r="F127" s="74"/>
      <c r="G127" s="73"/>
      <c r="H127" s="74"/>
      <c r="I127" s="69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73"/>
      <c r="B128" s="75"/>
      <c r="C128" s="73"/>
      <c r="D128" s="3"/>
      <c r="E128" s="73"/>
      <c r="F128" s="3"/>
      <c r="G128" s="73"/>
      <c r="H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73"/>
      <c r="B129" s="75"/>
      <c r="C129" s="73"/>
      <c r="D129" s="3"/>
      <c r="E129" s="73"/>
      <c r="F129" s="3"/>
      <c r="G129" s="73"/>
      <c r="H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73"/>
      <c r="B130" s="75"/>
      <c r="C130" s="73"/>
      <c r="D130" s="3"/>
      <c r="E130" s="73"/>
      <c r="F130" s="3"/>
      <c r="G130" s="73"/>
      <c r="H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73"/>
      <c r="B131" s="75"/>
      <c r="C131" s="73"/>
      <c r="D131" s="3"/>
      <c r="E131" s="73"/>
      <c r="F131" s="3"/>
      <c r="G131" s="73"/>
      <c r="H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73"/>
      <c r="B132" s="75"/>
      <c r="C132" s="73"/>
      <c r="D132" s="3"/>
      <c r="E132" s="73"/>
      <c r="F132" s="3"/>
      <c r="G132" s="73"/>
      <c r="H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2"/>
      <c r="B133" s="71"/>
      <c r="C133" s="52"/>
      <c r="D133" s="71"/>
      <c r="E133" s="52"/>
      <c r="F133" s="71"/>
      <c r="G133" s="52"/>
      <c r="H133" s="71"/>
      <c r="I133" s="5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7"/>
      <c r="B134" s="25"/>
      <c r="C134" s="27"/>
      <c r="D134" s="25"/>
      <c r="E134" s="27"/>
      <c r="F134" s="25"/>
      <c r="G134" s="27"/>
      <c r="H134" s="25"/>
      <c r="I134" s="27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0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73"/>
      <c r="B137" s="72"/>
      <c r="C137" s="73"/>
      <c r="D137" s="74"/>
      <c r="E137" s="73"/>
      <c r="F137" s="74"/>
      <c r="G137" s="73"/>
      <c r="H137" s="74"/>
      <c r="I137" s="69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73"/>
      <c r="B138" s="75"/>
      <c r="C138" s="73"/>
      <c r="D138" s="3"/>
      <c r="E138" s="73"/>
      <c r="F138" s="3"/>
      <c r="G138" s="73"/>
      <c r="H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73"/>
      <c r="B139" s="75"/>
      <c r="C139" s="73"/>
      <c r="D139" s="3"/>
      <c r="E139" s="73"/>
      <c r="F139" s="3"/>
      <c r="G139" s="73"/>
      <c r="H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73"/>
      <c r="B140" s="75"/>
      <c r="C140" s="73"/>
      <c r="D140" s="3"/>
      <c r="E140" s="73"/>
      <c r="F140" s="3"/>
      <c r="G140" s="73"/>
      <c r="H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73"/>
      <c r="B141" s="75"/>
      <c r="C141" s="73"/>
      <c r="D141" s="3"/>
      <c r="E141" s="73"/>
      <c r="F141" s="3"/>
      <c r="G141" s="73"/>
      <c r="H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73"/>
      <c r="B142" s="75"/>
      <c r="C142" s="73"/>
      <c r="D142" s="3"/>
      <c r="E142" s="73"/>
      <c r="F142" s="3"/>
      <c r="G142" s="73"/>
      <c r="H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2"/>
      <c r="B143" s="71"/>
      <c r="C143" s="52"/>
      <c r="D143" s="71"/>
      <c r="E143" s="52"/>
      <c r="F143" s="71"/>
      <c r="G143" s="52"/>
      <c r="H143" s="71"/>
      <c r="I143" s="5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7"/>
      <c r="B144" s="25"/>
      <c r="C144" s="27"/>
      <c r="D144" s="25"/>
      <c r="E144" s="27"/>
      <c r="F144" s="25"/>
      <c r="G144" s="27"/>
      <c r="H144" s="25"/>
      <c r="I144" s="2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0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</sheetData>
  <mergeCells count="38"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E10:F11"/>
    <mergeCell ref="G10:G11"/>
    <mergeCell ref="I16:I21"/>
    <mergeCell ref="A24:I24"/>
    <mergeCell ref="I26:I31"/>
    <mergeCell ref="A34:I34"/>
    <mergeCell ref="A44:I44"/>
    <mergeCell ref="I107:I112"/>
    <mergeCell ref="I117:I122"/>
    <mergeCell ref="I127:I132"/>
    <mergeCell ref="I137:I142"/>
    <mergeCell ref="I36:I41"/>
    <mergeCell ref="I46:I51"/>
    <mergeCell ref="I56:I61"/>
    <mergeCell ref="I66:I71"/>
    <mergeCell ref="I76:I81"/>
    <mergeCell ref="I86:I91"/>
    <mergeCell ref="I97:I102"/>
    <mergeCell ref="A115:I115"/>
    <mergeCell ref="A125:I125"/>
    <mergeCell ref="A135:I135"/>
    <mergeCell ref="A145:I145"/>
    <mergeCell ref="A54:I54"/>
    <mergeCell ref="A64:I64"/>
    <mergeCell ref="A74:I74"/>
    <mergeCell ref="A84:I84"/>
    <mergeCell ref="A94:I94"/>
    <mergeCell ref="A95:I95"/>
    <mergeCell ref="A105:I105"/>
  </mergeCells>
  <drawing r:id="rId1"/>
</worksheet>
</file>