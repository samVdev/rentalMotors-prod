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<sst xmlns="http://schemas.openxmlformats.org/spreadsheetml/2006/main" count="86" uniqueCount="51">
  <si>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</si>
  <si>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</si>
  <si>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</si>
  <si>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</si>
  <si>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</si>
  <si>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</si>
  <si>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</si>
  <si>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</si>
  <si>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</si>
  <si>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NKD</t>
  </si>
  <si>
    <t>AKT</t>
  </si>
  <si>
    <t>YAJ31H</t>
  </si>
  <si>
    <t>59B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</si>
  <si>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</si>
  <si>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</si>
  <si>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</si>
  <si>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</si>
  <si>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</si>
  <si>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</si>
  <si>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</si>
  <si>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</si>
  <si>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</si>
  <si>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</si>
  <si>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</si>
  <si>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</si>
  <si>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</si>
  <si>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</si>
  <si>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</si>
  <si>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</si>
  <si>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LUIS EDUARDO</t>
  </si>
  <si>
    <t>SANTANA ORTIZ</t>
  </si>
  <si>
    <t xml:space="preserve">COLOMBIANA 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</si>
  <si>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</si>
  <si>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</si>
  <si>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</si>
  <si>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</si>
  <si>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</si>
  <si>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</si>
  <si>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</si>
  <si>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</si>
  <si>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</si>
  <si>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M12918662</t>
  </si>
  <si>
    <t>M15769442</t>
  </si>
  <si>
    <t>M13874231</t>
  </si>
  <si>
    <t>M14572922</t>
  </si>
  <si>
    <t>M17686756</t>
  </si>
  <si>
    <t>M21566873</t>
  </si>
  <si>
    <t>M19987297</t>
  </si>
  <si>
    <t>M14926669</t>
  </si>
  <si>
    <t>M21434619</t>
  </si>
  <si>
    <t>M18913970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</si>
</sst>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4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2.0"/>
      <color rgb="FF000000"/>
      <name val="Nunito"/>
    </font>
    <font>
      <b/>
      <sz val="12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sz val="20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/>
    <font>
      <b/>
      <sz val="25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color rgb="FF46BDC6"/>
      <name val="Arial"/>
    </font>
    <font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1" fillId="6" fontId="6" numFmtId="4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6" fontId="4" numFmtId="0" xfId="0" applyAlignment="1" applyFont="1">
      <alignment horizontal="center" readingOrder="0" vertical="bottom"/>
    </xf>
    <xf borderId="0" fillId="10" fontId="11" numFmtId="0" xfId="0" applyAlignment="1" applyFill="1" applyFont="1">
      <alignment horizontal="center" readingOrder="0" vertical="bottom"/>
    </xf>
    <xf borderId="0" fillId="11" fontId="12" numFmtId="0" xfId="0" applyAlignment="1" applyFill="1" applyFont="1">
      <alignment horizontal="center" readingOrder="0" vertical="bottom"/>
    </xf>
    <xf borderId="0" fillId="11" fontId="12" numFmtId="0" xfId="0" applyAlignment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2" numFmtId="164" xfId="0" applyAlignment="1" applyFill="1" applyFont="1" applyNumberFormat="1">
      <alignment vertical="bottom"/>
    </xf>
    <xf borderId="0" fillId="13" fontId="2" numFmtId="164" xfId="0" applyAlignment="1" applyFont="1" applyNumberFormat="1">
      <alignment vertical="bottom"/>
    </xf>
    <xf borderId="4" fillId="13" fontId="2" numFmtId="0" xfId="0" applyAlignment="1" applyBorder="1" applyFont="1">
      <alignment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3" numFmtId="4" xfId="0" applyAlignment="1" applyFont="1" applyNumberFormat="1">
      <alignment horizontal="center" vertical="bottom"/>
    </xf>
    <xf borderId="5" fillId="4" fontId="14" numFmtId="4" xfId="0" applyAlignment="1" applyBorder="1" applyFont="1" applyNumberFormat="1">
      <alignment horizontal="center" vertical="bottom"/>
    </xf>
    <xf borderId="0" fillId="13" fontId="15" numFmtId="3" xfId="0" applyAlignment="1" applyFont="1" applyNumberFormat="1">
      <alignment horizontal="center" vertical="bottom"/>
    </xf>
    <xf borderId="0" fillId="15" fontId="16" numFmtId="4" xfId="0" applyAlignment="1" applyFill="1" applyFont="1" applyNumberFormat="1">
      <alignment horizontal="center" vertical="bottom"/>
    </xf>
    <xf borderId="0" fillId="16" fontId="17" numFmtId="4" xfId="0" applyAlignment="1" applyFill="1" applyFont="1" applyNumberFormat="1">
      <alignment horizontal="center" vertical="bottom"/>
    </xf>
    <xf borderId="5" fillId="0" fontId="18" numFmtId="0" xfId="0" applyBorder="1" applyFont="1"/>
    <xf borderId="5" fillId="13" fontId="19" numFmtId="0" xfId="0" applyAlignment="1" applyBorder="1" applyFont="1">
      <alignment horizontal="center" vertical="bottom"/>
    </xf>
    <xf borderId="0" fillId="17" fontId="12" numFmtId="0" xfId="0" applyAlignment="1" applyFill="1" applyFont="1">
      <alignment vertical="bottom"/>
    </xf>
    <xf borderId="6" fillId="17" fontId="2" numFmtId="0" xfId="0" applyAlignment="1" applyBorder="1" applyFont="1">
      <alignment vertical="bottom"/>
    </xf>
    <xf borderId="7" fillId="17" fontId="2" numFmtId="0" xfId="0" applyAlignment="1" applyBorder="1" applyFont="1">
      <alignment vertical="bottom"/>
    </xf>
    <xf borderId="8" fillId="0" fontId="18" numFmtId="0" xfId="0" applyBorder="1" applyFont="1"/>
    <xf borderId="0" fillId="13" fontId="2" numFmtId="0" xfId="0" applyAlignment="1" applyFont="1">
      <alignment horizontal="center" vertical="bottom"/>
    </xf>
    <xf borderId="0" fillId="18" fontId="11" numFmtId="166" xfId="0" applyAlignment="1" applyFill="1" applyFont="1" applyNumberFormat="1">
      <alignment horizontal="center" readingOrder="0" vertical="bottom"/>
    </xf>
    <xf borderId="0" fillId="0" fontId="20" numFmtId="164" xfId="0" applyAlignment="1" applyFont="1" applyNumberFormat="1">
      <alignment horizontal="center" readingOrder="0" textRotation="45" vertical="center"/>
    </xf>
    <xf borderId="0" fillId="13" fontId="21" numFmtId="164" xfId="0" applyAlignment="1" applyFont="1" applyNumberFormat="1">
      <alignment horizontal="center" vertical="bottom"/>
    </xf>
    <xf borderId="0" fillId="1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vertical="bottom"/>
    </xf>
    <xf borderId="0" fillId="11" fontId="11" numFmtId="167" xfId="0" applyAlignment="1" applyFont="1" applyNumberFormat="1">
      <alignment horizontal="center" readingOrder="0" vertical="bottom"/>
    </xf>
    <xf borderId="0" fillId="13" fontId="2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4" fontId="12" numFmtId="0" xfId="0" applyAlignment="1" applyFont="1">
      <alignment horizontal="center" readingOrder="0" vertical="bottom"/>
    </xf>
    <xf borderId="0" fillId="11" fontId="23" numFmtId="167" xfId="0" applyAlignment="1" applyFont="1" applyNumberFormat="1">
      <alignment horizontal="center" readingOrder="0" vertical="bottom"/>
    </xf>
    <xf borderId="0" fillId="11" fontId="2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1695450</xdr:colOff>
      <xdr:row>0</xdr:row>
      <xdr:rowOff>0</xdr:rowOff>
    </xdr:from>
    <xdr:ext cx="1952625" cy="2743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1.75"/>
    <col customWidth="1" min="2" max="2" width="20.88"/>
    <col customWidth="1" min="3" max="3" width="21.38"/>
    <col customWidth="1" min="4" max="4" width="19.13"/>
    <col customWidth="1" min="5" max="5" width="19.38"/>
    <col customWidth="1" min="6" max="6" width="21.13"/>
    <col customWidth="1" min="7" max="7" width="20.75"/>
    <col customWidth="1" min="8" max="8" width="22.63"/>
    <col customWidth="1" min="9" max="9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5700000.0</v>
      </c>
      <c r="H2" s="11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2"/>
      <c r="C3" s="12"/>
      <c r="D3" s="12"/>
      <c r="E3" s="12"/>
      <c r="F3" s="12"/>
      <c r="G3" s="12"/>
      <c r="H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13</v>
      </c>
      <c r="B4" s="14" t="s">
        <v>14</v>
      </c>
      <c r="C4" s="14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5">
        <f>G2-H2</f>
        <v>4700000</v>
      </c>
      <c r="B5" s="16">
        <v>2.749</v>
      </c>
      <c r="C5" s="17">
        <f>A5*B5</f>
        <v>12920300</v>
      </c>
      <c r="D5" s="18">
        <v>18.0</v>
      </c>
      <c r="E5" s="19">
        <f>C5/D5</f>
        <v>717794.4444</v>
      </c>
      <c r="F5" s="20">
        <f>E5/2</f>
        <v>358897.2222</v>
      </c>
      <c r="G5" s="21">
        <f>E5/4</f>
        <v>179448.6111</v>
      </c>
      <c r="H5" s="19">
        <f>G5/6</f>
        <v>29908.10185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2" t="s">
        <v>21</v>
      </c>
      <c r="B6" s="22" t="s">
        <v>22</v>
      </c>
      <c r="C6" s="22" t="s">
        <v>23</v>
      </c>
      <c r="D6" s="22" t="s">
        <v>24</v>
      </c>
      <c r="E6" s="22" t="s">
        <v>25</v>
      </c>
      <c r="F6" s="23" t="s">
        <v>26</v>
      </c>
      <c r="G6" s="24" t="s">
        <v>27</v>
      </c>
      <c r="H6" s="24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29</v>
      </c>
      <c r="B7" s="25" t="s">
        <v>30</v>
      </c>
      <c r="C7" s="25">
        <v>1.047411043E9</v>
      </c>
      <c r="D7" s="25" t="s">
        <v>31</v>
      </c>
      <c r="E7" s="26">
        <v>3.122113513E9</v>
      </c>
      <c r="F7" s="27" t="s">
        <v>32</v>
      </c>
      <c r="G7" s="28" t="s">
        <v>32</v>
      </c>
      <c r="H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0"/>
      <c r="B8" s="30"/>
      <c r="C8" s="30"/>
      <c r="D8" s="30"/>
      <c r="E8" s="31"/>
      <c r="F8" s="32"/>
      <c r="G8" s="33"/>
      <c r="H8" s="3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5" t="s">
        <v>33</v>
      </c>
      <c r="C9" s="36" t="s">
        <v>34</v>
      </c>
      <c r="E9" s="37" t="s">
        <v>35</v>
      </c>
      <c r="G9" s="37" t="s">
        <v>36</v>
      </c>
      <c r="H9" s="38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9">
        <f>I16+I27+I38</f>
        <v>2012000</v>
      </c>
      <c r="C10" s="40">
        <f>C5-A10</f>
        <v>10908300</v>
      </c>
      <c r="E10" s="41">
        <f>C10+G10</f>
        <v>10908300</v>
      </c>
      <c r="G10" s="32"/>
      <c r="H10" s="4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3">
        <f>I23+I34+I45</f>
        <v>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4" t="s">
        <v>37</v>
      </c>
      <c r="E12" s="45"/>
      <c r="F12" s="46"/>
      <c r="G12" s="46"/>
      <c r="H12" s="4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8" t="s">
        <v>38</v>
      </c>
      <c r="B15" s="48" t="s">
        <v>39</v>
      </c>
      <c r="C15" s="48" t="s">
        <v>38</v>
      </c>
      <c r="D15" s="48" t="s">
        <v>39</v>
      </c>
      <c r="E15" s="48" t="s">
        <v>38</v>
      </c>
      <c r="F15" s="48" t="s">
        <v>39</v>
      </c>
      <c r="G15" s="48" t="s">
        <v>38</v>
      </c>
      <c r="H15" s="48" t="s">
        <v>39</v>
      </c>
      <c r="I15" s="3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>
        <v>46097.0</v>
      </c>
      <c r="B16" s="50">
        <v>179500.0</v>
      </c>
      <c r="C16" s="49">
        <v>46104.0</v>
      </c>
      <c r="D16" s="50">
        <v>215000.0</v>
      </c>
      <c r="E16" s="49">
        <v>46111.0</v>
      </c>
      <c r="F16" s="50">
        <v>179500.0</v>
      </c>
      <c r="G16" s="49">
        <v>46118.0</v>
      </c>
      <c r="H16" s="50">
        <v>179500.0</v>
      </c>
      <c r="I16" s="51">
        <f>B22+D22+F22+H22</f>
        <v>753500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>
        <v>46098.0</v>
      </c>
      <c r="C17" s="49">
        <v>46105.0</v>
      </c>
      <c r="E17" s="49">
        <v>46112.0</v>
      </c>
      <c r="G17" s="49">
        <v>46119.0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>
        <v>46099.0</v>
      </c>
      <c r="C18" s="49">
        <v>46106.0</v>
      </c>
      <c r="E18" s="49">
        <v>46113.0</v>
      </c>
      <c r="G18" s="49">
        <v>46120.0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9">
        <v>46100.0</v>
      </c>
      <c r="C19" s="49">
        <v>46107.0</v>
      </c>
      <c r="E19" s="49">
        <v>46114.0</v>
      </c>
      <c r="G19" s="49">
        <v>46121.0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9">
        <v>46101.0</v>
      </c>
      <c r="C20" s="49">
        <v>46108.0</v>
      </c>
      <c r="E20" s="49">
        <v>46115.0</v>
      </c>
      <c r="G20" s="49">
        <v>46122.0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9">
        <v>46102.0</v>
      </c>
      <c r="C21" s="49">
        <v>46109.0</v>
      </c>
      <c r="E21" s="49">
        <v>46116.0</v>
      </c>
      <c r="G21" s="49">
        <v>46123.0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0"/>
      <c r="B22" s="52">
        <f>SUM(B16:B21)</f>
        <v>179500</v>
      </c>
      <c r="C22" s="30"/>
      <c r="D22" s="52">
        <f>SUM(D16:D21)</f>
        <v>215000</v>
      </c>
      <c r="E22" s="30"/>
      <c r="F22" s="52">
        <f>SUM(F16:F21)</f>
        <v>179500</v>
      </c>
      <c r="G22" s="30"/>
      <c r="H22" s="52">
        <f>SUM(H16:H21)</f>
        <v>179500</v>
      </c>
      <c r="I22" s="53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8" t="s">
        <v>40</v>
      </c>
      <c r="B23" s="54" t="s">
        <v>41</v>
      </c>
      <c r="C23" s="48" t="s">
        <v>40</v>
      </c>
      <c r="D23" s="54" t="s">
        <v>42</v>
      </c>
      <c r="E23" s="48" t="s">
        <v>40</v>
      </c>
      <c r="F23" s="54" t="s">
        <v>43</v>
      </c>
      <c r="G23" s="48" t="s">
        <v>40</v>
      </c>
      <c r="H23" s="54" t="s">
        <v>44</v>
      </c>
      <c r="I23" s="55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8" t="s">
        <v>38</v>
      </c>
      <c r="B26" s="48" t="s">
        <v>39</v>
      </c>
      <c r="C26" s="48" t="s">
        <v>38</v>
      </c>
      <c r="D26" s="48" t="s">
        <v>39</v>
      </c>
      <c r="E26" s="48" t="s">
        <v>38</v>
      </c>
      <c r="F26" s="48" t="s">
        <v>39</v>
      </c>
      <c r="G26" s="48" t="s">
        <v>38</v>
      </c>
      <c r="H26" s="48" t="s">
        <v>39</v>
      </c>
      <c r="I26" s="3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>
        <v>46125.0</v>
      </c>
      <c r="B27" s="50">
        <v>180000.0</v>
      </c>
      <c r="C27" s="49">
        <v>46132.0</v>
      </c>
      <c r="D27" s="50">
        <v>180000.0</v>
      </c>
      <c r="E27" s="49">
        <v>46139.0</v>
      </c>
      <c r="F27" s="50">
        <v>179000.0</v>
      </c>
      <c r="G27" s="49">
        <v>46146.0</v>
      </c>
      <c r="H27" s="50">
        <v>180000.0</v>
      </c>
      <c r="I27" s="51">
        <f>B33+D33+F33+H33</f>
        <v>719000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9">
        <v>46126.0</v>
      </c>
      <c r="C28" s="49">
        <v>46133.0</v>
      </c>
      <c r="E28" s="49">
        <v>46140.0</v>
      </c>
      <c r="G28" s="49">
        <v>46147.0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9">
        <v>46127.0</v>
      </c>
      <c r="C29" s="49">
        <v>46134.0</v>
      </c>
      <c r="E29" s="49">
        <v>46141.0</v>
      </c>
      <c r="G29" s="49">
        <v>46148.0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9">
        <v>46128.0</v>
      </c>
      <c r="C30" s="49">
        <v>46135.0</v>
      </c>
      <c r="E30" s="49">
        <v>46142.0</v>
      </c>
      <c r="G30" s="49">
        <v>46149.0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9">
        <v>46129.0</v>
      </c>
      <c r="C31" s="49">
        <v>46136.0</v>
      </c>
      <c r="E31" s="49">
        <v>46143.0</v>
      </c>
      <c r="G31" s="49">
        <v>46150.0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9">
        <v>46130.0</v>
      </c>
      <c r="C32" s="49">
        <v>46137.0</v>
      </c>
      <c r="E32" s="49">
        <v>46144.0</v>
      </c>
      <c r="G32" s="49">
        <v>46151.0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0"/>
      <c r="B33" s="52">
        <f>SUM(B27:B32)</f>
        <v>180000</v>
      </c>
      <c r="C33" s="30"/>
      <c r="D33" s="52">
        <f>SUM(D27:D32)</f>
        <v>180000</v>
      </c>
      <c r="E33" s="30"/>
      <c r="F33" s="52">
        <f>SUM(F27:F32)</f>
        <v>179000</v>
      </c>
      <c r="G33" s="30"/>
      <c r="H33" s="52">
        <f>SUM(H27:H32)</f>
        <v>180000</v>
      </c>
      <c r="I33" s="57">
        <v>2.0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8" t="s">
        <v>40</v>
      </c>
      <c r="B34" s="54" t="s">
        <v>45</v>
      </c>
      <c r="C34" s="48" t="s">
        <v>40</v>
      </c>
      <c r="D34" s="54" t="s">
        <v>46</v>
      </c>
      <c r="E34" s="48" t="s">
        <v>40</v>
      </c>
      <c r="F34" s="54" t="s">
        <v>47</v>
      </c>
      <c r="G34" s="48" t="s">
        <v>40</v>
      </c>
      <c r="H34" s="54" t="s">
        <v>48</v>
      </c>
      <c r="I34" s="55">
        <v>1.0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8" t="s">
        <v>38</v>
      </c>
      <c r="B37" s="48" t="s">
        <v>39</v>
      </c>
      <c r="C37" s="48" t="s">
        <v>38</v>
      </c>
      <c r="D37" s="48" t="s">
        <v>39</v>
      </c>
      <c r="E37" s="48" t="s">
        <v>38</v>
      </c>
      <c r="F37" s="48" t="s">
        <v>39</v>
      </c>
      <c r="G37" s="48" t="s">
        <v>38</v>
      </c>
      <c r="H37" s="48" t="s">
        <v>39</v>
      </c>
      <c r="I37" s="3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9">
        <v>46153.0</v>
      </c>
      <c r="B38" s="50">
        <v>179500.0</v>
      </c>
      <c r="C38" s="49">
        <v>46160.0</v>
      </c>
      <c r="D38" s="50">
        <v>180000.0</v>
      </c>
      <c r="E38" s="49">
        <v>46167.0</v>
      </c>
      <c r="F38" s="50">
        <v>180000.0</v>
      </c>
      <c r="G38" s="49">
        <v>46174.0</v>
      </c>
      <c r="H38" s="50"/>
      <c r="I38" s="51">
        <f>B44+D44+F44+H44</f>
        <v>539500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9">
        <v>46154.0</v>
      </c>
      <c r="C39" s="49">
        <v>46161.0</v>
      </c>
      <c r="E39" s="49">
        <v>46168.0</v>
      </c>
      <c r="G39" s="49">
        <v>46175.0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9">
        <v>46155.0</v>
      </c>
      <c r="C40" s="49">
        <v>46162.0</v>
      </c>
      <c r="E40" s="49">
        <v>46169.0</v>
      </c>
      <c r="G40" s="49">
        <v>46176.0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9">
        <v>46156.0</v>
      </c>
      <c r="C41" s="49">
        <v>46163.0</v>
      </c>
      <c r="E41" s="49">
        <v>46170.0</v>
      </c>
      <c r="G41" s="49">
        <v>46177.0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9">
        <v>46157.0</v>
      </c>
      <c r="C42" s="49">
        <v>46164.0</v>
      </c>
      <c r="E42" s="49">
        <v>46171.0</v>
      </c>
      <c r="G42" s="49">
        <v>46178.0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9">
        <v>46158.0</v>
      </c>
      <c r="C43" s="49">
        <v>46165.0</v>
      </c>
      <c r="E43" s="49">
        <v>46172.0</v>
      </c>
      <c r="G43" s="49">
        <v>46179.0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0"/>
      <c r="B44" s="52">
        <f>SUM(B38:B43)</f>
        <v>179500</v>
      </c>
      <c r="C44" s="30"/>
      <c r="D44" s="52">
        <f>SUM(D38:D43)</f>
        <v>180000</v>
      </c>
      <c r="E44" s="30"/>
      <c r="F44" s="52">
        <f>SUM(F38:F43)</f>
        <v>180000</v>
      </c>
      <c r="G44" s="30"/>
      <c r="H44" s="52">
        <f>SUM(H38:H43)</f>
        <v>0</v>
      </c>
      <c r="I44" s="57">
        <v>3.0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8" t="s">
        <v>40</v>
      </c>
      <c r="B45" s="58" t="s">
        <v>49</v>
      </c>
      <c r="C45" s="48" t="s">
        <v>40</v>
      </c>
      <c r="D45" s="54" t="s">
        <v>50</v>
      </c>
      <c r="E45" s="48" t="s">
        <v>40</v>
      </c>
      <c r="F45" s="59"/>
      <c r="G45" s="48" t="s">
        <v>40</v>
      </c>
      <c r="H45" s="59"/>
      <c r="I45" s="5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</sheetData>
  <mergeCells count="26">
    <mergeCell ref="E10:F11"/>
    <mergeCell ref="G10:G11"/>
    <mergeCell ref="I1:I12"/>
    <mergeCell ref="A9:B9"/>
    <mergeCell ref="C9:D9"/>
    <mergeCell ref="E9:F9"/>
    <mergeCell ref="H9:H10"/>
    <mergeCell ref="A10:B11"/>
    <mergeCell ref="H11:H12"/>
    <mergeCell ref="D16:D21"/>
    <mergeCell ref="D27:D32"/>
    <mergeCell ref="B38:B43"/>
    <mergeCell ref="D38:D43"/>
    <mergeCell ref="F38:F43"/>
    <mergeCell ref="H16:H21"/>
    <mergeCell ref="H27:H32"/>
    <mergeCell ref="H38:H43"/>
    <mergeCell ref="I38:I43"/>
    <mergeCell ref="C10:D11"/>
    <mergeCell ref="A12:D12"/>
    <mergeCell ref="B16:B21"/>
    <mergeCell ref="F16:F21"/>
    <mergeCell ref="I16:I21"/>
    <mergeCell ref="B27:B32"/>
    <mergeCell ref="F27:F32"/>
    <mergeCell ref="I27:I32"/>
  </mergeCells>
  <drawing r:id="rId1"/>
</worksheet>
</file>