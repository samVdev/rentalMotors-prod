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<sst xmlns="http://schemas.openxmlformats.org/spreadsheetml/2006/main" count="73" uniqueCount="40">
  <si>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</si>
  <si>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</si>
  <si>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</si>
  <si>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</si>
  <si>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</si>
  <si>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</si>
  <si>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</si>
  <si>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</si>
  <si>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</si>
  <si>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BOXER</t>
  </si>
  <si>
    <t>BAJAJ</t>
  </si>
  <si>
    <t>DQO11I</t>
  </si>
  <si>
    <t>70B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</si>
  <si>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</si>
  <si>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</si>
  <si>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</si>
  <si>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</si>
  <si>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</si>
  <si>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</si>
  <si>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</si>
  <si>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</si>
  <si>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</si>
  <si>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CEDULA</t>
  </si>
  <si>
    <t xml:space="preserve">NACIONALIDAD </t>
  </si>
  <si>
    <t>CELULAR</t>
  </si>
  <si>
    <t>Traspaso de propiedad</t>
  </si>
  <si>
    <t xml:space="preserve">DEUDA DE SEMANA </t>
  </si>
  <si>
    <t>ELIANA MARCELA</t>
  </si>
  <si>
    <t>FILO TORRES</t>
  </si>
  <si>
    <t>COLOMBIANA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</si>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</sst>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.00"/>
  </numFmts>
  <fonts count="28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sz val="25.0"/>
      <color theme="1"/>
      <name val="Arial"/>
    </font>
    <font>
      <color rgb="FFFFFFFF"/>
      <name val="Arial"/>
    </font>
    <font/>
    <font>
      <b/>
      <sz val="26.0"/>
      <color rgb="FFFFFFFF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sz val="11.0"/>
      <color theme="1"/>
      <name val="Arial"/>
    </font>
    <font>
      <b/>
      <sz val="25.0"/>
      <color theme="1"/>
      <name val="Arial"/>
    </font>
    <font>
      <b/>
      <sz val="23.0"/>
      <color rgb="FFFFFFFF"/>
      <name val="Arial"/>
    </font>
    <font>
      <sz val="14.0"/>
      <color rgb="FFFFFFFF"/>
      <name val="Arial"/>
    </font>
    <font>
      <b/>
      <sz val="12.0"/>
      <color rgb="FFFFFFFF"/>
      <name val="Arial"/>
    </font>
    <font>
      <color rgb="FF46BDC6"/>
      <name val="Arial"/>
    </font>
    <font>
      <b/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6D01"/>
        <bgColor rgb="FFFF6D01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medium">
        <color rgb="FF0000FF"/>
      </right>
    </border>
    <border>
      <bottom style="medium">
        <color rgb="FF0000FF"/>
      </bottom>
    </border>
    <border>
      <right style="medium">
        <color rgb="FF0000FF"/>
      </right>
      <bottom style="medium">
        <color rgb="FF0000F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6" fontId="7" numFmtId="165" xfId="0" applyAlignment="1" applyBorder="1" applyFill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2" numFmtId="0" xfId="0" applyAlignment="1" applyFont="1">
      <alignment vertical="bottom"/>
    </xf>
    <xf borderId="0" fillId="7" fontId="9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shrinkToFit="0" vertical="bottom" wrapText="1"/>
    </xf>
    <xf borderId="0" fillId="9" fontId="5" numFmtId="0" xfId="0" applyAlignment="1" applyFill="1" applyFont="1">
      <alignment horizontal="center" readingOrder="0" vertical="bottom"/>
    </xf>
    <xf borderId="0" fillId="9" fontId="11" numFmtId="3" xfId="0" applyAlignment="1" applyFont="1" applyNumberFormat="1">
      <alignment horizontal="center" readingOrder="0" vertical="bottom"/>
    </xf>
    <xf borderId="0" fillId="9" fontId="5" numFmtId="0" xfId="0" applyAlignment="1" applyFont="1">
      <alignment horizontal="center" vertical="bottom"/>
    </xf>
    <xf borderId="0" fillId="8" fontId="12" numFmtId="0" xfId="0" applyAlignment="1" applyFont="1">
      <alignment horizontal="center" shrinkToFit="0" vertical="bottom" wrapText="1"/>
    </xf>
    <xf borderId="0" fillId="9" fontId="13" numFmtId="0" xfId="0" applyAlignment="1" applyFont="1">
      <alignment horizontal="center" vertical="bottom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1" fontId="17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readingOrder="0" vertical="bottom"/>
    </xf>
    <xf borderId="6" fillId="0" fontId="16" numFmtId="0" xfId="0" applyBorder="1" applyFont="1"/>
    <xf borderId="0" fillId="14" fontId="13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0" fontId="2" numFmtId="166" xfId="0" applyAlignment="1" applyFont="1" applyNumberFormat="1">
      <alignment vertical="bottom"/>
    </xf>
    <xf borderId="0" fillId="16" fontId="13" numFmtId="0" xfId="0" applyAlignment="1" applyFill="1" applyFont="1">
      <alignment horizontal="center" vertical="bottom"/>
    </xf>
    <xf borderId="0" fillId="17" fontId="21" numFmtId="166" xfId="0" applyAlignment="1" applyFill="1" applyFont="1" applyNumberFormat="1">
      <alignment horizontal="center" readingOrder="0" vertical="bottom"/>
    </xf>
    <xf borderId="0" fillId="18" fontId="22" numFmtId="164" xfId="0" applyAlignment="1" applyFill="1" applyFont="1" applyNumberFormat="1">
      <alignment horizontal="center" readingOrder="0" textRotation="45" vertical="bottom"/>
    </xf>
    <xf borderId="9" fillId="0" fontId="16" numFmtId="0" xfId="0" applyBorder="1" applyFont="1"/>
    <xf borderId="0" fillId="11" fontId="23" numFmtId="164" xfId="0" applyAlignment="1" applyFont="1" applyNumberFormat="1">
      <alignment horizontal="center" readingOrder="0" vertical="center"/>
    </xf>
    <xf borderId="10" fillId="0" fontId="16" numFmtId="0" xfId="0" applyBorder="1" applyFont="1"/>
    <xf borderId="11" fillId="0" fontId="16" numFmtId="0" xfId="0" applyBorder="1" applyFont="1"/>
    <xf borderId="0" fillId="4" fontId="2" numFmtId="0" xfId="0" applyAlignment="1" applyFont="1">
      <alignment horizontal="center" vertical="bottom"/>
    </xf>
    <xf borderId="0" fillId="4" fontId="24" numFmtId="164" xfId="0" applyAlignment="1" applyFont="1" applyNumberFormat="1">
      <alignment horizontal="center" vertical="bottom"/>
    </xf>
    <xf borderId="0" fillId="4" fontId="25" numFmtId="0" xfId="0" applyAlignment="1" applyFont="1">
      <alignment horizontal="center" readingOrder="0" vertical="bottom"/>
    </xf>
    <xf borderId="0" fillId="11" fontId="2" numFmtId="0" xfId="0" applyAlignment="1" applyFont="1">
      <alignment horizontal="center" vertical="bottom"/>
    </xf>
    <xf borderId="0" fillId="19" fontId="2" numFmtId="0" xfId="0" applyAlignment="1" applyFill="1" applyFont="1">
      <alignment vertical="bottom"/>
    </xf>
    <xf borderId="0" fillId="19" fontId="2" numFmtId="0" xfId="0" applyAlignment="1" applyFont="1">
      <alignment horizontal="center" vertical="bottom"/>
    </xf>
    <xf borderId="0" fillId="11" fontId="26" numFmtId="0" xfId="0" applyAlignment="1" applyFont="1">
      <alignment readingOrder="0" vertical="bottom"/>
    </xf>
    <xf borderId="0" fillId="11" fontId="23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4" fontId="2" numFmtId="167" xfId="0" applyAlignment="1" applyFont="1" applyNumberFormat="1">
      <alignment vertical="bottom"/>
    </xf>
    <xf borderId="0" fillId="4" fontId="1" numFmtId="164" xfId="0" applyAlignment="1" applyFont="1" applyNumberFormat="1">
      <alignment horizontal="center" readingOrder="0" vertical="bottom"/>
    </xf>
    <xf borderId="0" fillId="4" fontId="25" numFmtId="0" xfId="0" applyAlignment="1" applyFont="1">
      <alignment horizontal="center" vertical="bottom"/>
    </xf>
    <xf borderId="0" fillId="19" fontId="2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1619250</xdr:colOff>
      <xdr:row>0</xdr:row>
      <xdr:rowOff>0</xdr:rowOff>
    </xdr:from>
    <xdr:ext cx="1666875" cy="2762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9.63"/>
    <col customWidth="1" min="2" max="2" width="17.13"/>
    <col customWidth="1" min="3" max="3" width="16.13"/>
    <col customWidth="1" min="4" max="4" width="16.25"/>
    <col customWidth="1" min="5" max="5" width="18.0"/>
    <col customWidth="1" min="6" max="7" width="19.75"/>
    <col customWidth="1" min="8" max="8" width="21.25"/>
    <col customWidth="1" min="9" max="9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6800000.0</v>
      </c>
      <c r="H2" s="10">
        <v>1500000.0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5300000</v>
      </c>
      <c r="B5" s="15">
        <v>2.434</v>
      </c>
      <c r="C5" s="16">
        <f>A5*B5</f>
        <v>12900200</v>
      </c>
      <c r="D5" s="17">
        <v>18.0</v>
      </c>
      <c r="E5" s="18">
        <f>C5/D5</f>
        <v>716677.7778</v>
      </c>
      <c r="F5" s="19">
        <f>E5/2</f>
        <v>358338.8889</v>
      </c>
      <c r="G5" s="20">
        <f>E5/4</f>
        <v>179169.4444</v>
      </c>
      <c r="H5" s="20">
        <f>G5/6</f>
        <v>29861.57407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21</v>
      </c>
      <c r="B6" s="22"/>
      <c r="C6" s="21" t="s">
        <v>22</v>
      </c>
      <c r="D6" s="21" t="s">
        <v>23</v>
      </c>
      <c r="E6" s="23" t="s">
        <v>24</v>
      </c>
      <c r="F6" s="3"/>
      <c r="G6" s="24" t="s">
        <v>25</v>
      </c>
      <c r="H6" s="24" t="s">
        <v>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27</v>
      </c>
      <c r="B7" s="25" t="s">
        <v>28</v>
      </c>
      <c r="C7" s="26">
        <v>1.047395497E9</v>
      </c>
      <c r="D7" s="27" t="s">
        <v>29</v>
      </c>
      <c r="E7" s="25">
        <v>3.023934387E9</v>
      </c>
      <c r="F7" s="28" t="s">
        <v>30</v>
      </c>
      <c r="G7" s="29" t="s">
        <v>31</v>
      </c>
      <c r="H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1"/>
      <c r="B8" s="31"/>
      <c r="C8" s="31"/>
      <c r="D8" s="31"/>
      <c r="E8" s="32"/>
      <c r="F8" s="33"/>
      <c r="G8" s="3"/>
      <c r="H8" s="34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5" t="s">
        <v>32</v>
      </c>
      <c r="C9" s="36" t="s">
        <v>33</v>
      </c>
      <c r="E9" s="36" t="s">
        <v>34</v>
      </c>
      <c r="G9" s="36" t="s">
        <v>35</v>
      </c>
      <c r="H9" s="3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8">
        <f>I16+I26+I36</f>
        <v>925661</v>
      </c>
      <c r="C10" s="39">
        <f>C5-A10</f>
        <v>11974539</v>
      </c>
      <c r="E10" s="40">
        <f>C10+G10</f>
        <v>11974539</v>
      </c>
      <c r="G10" s="41"/>
      <c r="H10" s="42">
        <f>I23+I33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4" t="s">
        <v>36</v>
      </c>
      <c r="E12" s="45"/>
      <c r="F12" s="46"/>
      <c r="G12" s="46"/>
      <c r="H12" s="4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4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J14" s="49"/>
      <c r="K14" s="49"/>
      <c r="L14" s="49"/>
      <c r="M14" s="49"/>
      <c r="N14" s="49"/>
      <c r="O14" s="49"/>
      <c r="P14" s="49"/>
      <c r="Q14" s="49"/>
      <c r="R14" s="49"/>
      <c r="S14" s="3"/>
      <c r="T14" s="3"/>
      <c r="U14" s="3"/>
      <c r="V14" s="3"/>
      <c r="W14" s="3"/>
      <c r="X14" s="3"/>
      <c r="Y14" s="3"/>
      <c r="Z14" s="3"/>
    </row>
    <row r="15">
      <c r="A15" s="50" t="s">
        <v>37</v>
      </c>
      <c r="B15" s="50" t="s">
        <v>37</v>
      </c>
      <c r="C15" s="50" t="s">
        <v>37</v>
      </c>
      <c r="D15" s="50" t="s">
        <v>38</v>
      </c>
      <c r="E15" s="50" t="s">
        <v>38</v>
      </c>
      <c r="F15" s="50" t="s">
        <v>38</v>
      </c>
      <c r="G15" s="50" t="s">
        <v>38</v>
      </c>
      <c r="H15" s="50" t="s">
        <v>38</v>
      </c>
      <c r="I15" s="5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1"/>
      <c r="B16" s="51">
        <v>46125.0</v>
      </c>
      <c r="C16" s="51">
        <v>46132.0</v>
      </c>
      <c r="D16" s="52">
        <v>359000.0</v>
      </c>
      <c r="H16" s="53"/>
      <c r="I16" s="54">
        <f>D22</f>
        <v>359000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51"/>
      <c r="B17" s="51">
        <v>46126.0</v>
      </c>
      <c r="C17" s="51">
        <v>46133.0</v>
      </c>
      <c r="H17" s="53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51"/>
      <c r="B18" s="51">
        <v>46127.0</v>
      </c>
      <c r="C18" s="51">
        <v>46134.0</v>
      </c>
      <c r="H18" s="53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51"/>
      <c r="B19" s="51">
        <v>46128.0</v>
      </c>
      <c r="C19" s="51">
        <v>46135.0</v>
      </c>
      <c r="H19" s="53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51"/>
      <c r="B20" s="51">
        <v>46129.0</v>
      </c>
      <c r="C20" s="51">
        <v>46136.0</v>
      </c>
      <c r="H20" s="53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51">
        <v>46123.0</v>
      </c>
      <c r="B21" s="51">
        <v>46130.0</v>
      </c>
      <c r="C21" s="51">
        <v>46137.0</v>
      </c>
      <c r="D21" s="55"/>
      <c r="E21" s="55"/>
      <c r="F21" s="55"/>
      <c r="G21" s="55"/>
      <c r="H21" s="56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57" t="s">
        <v>39</v>
      </c>
      <c r="B22" s="11"/>
      <c r="C22" s="57" t="s">
        <v>39</v>
      </c>
      <c r="D22" s="58">
        <f>SUM(D16:H21)</f>
        <v>359000</v>
      </c>
      <c r="I22" s="59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0" t="s">
        <v>39</v>
      </c>
      <c r="B23" s="61"/>
      <c r="C23" s="60" t="s">
        <v>39</v>
      </c>
      <c r="D23" s="62" t="s">
        <v>39</v>
      </c>
      <c r="I23" s="63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50" t="s">
        <v>37</v>
      </c>
      <c r="B25" s="50" t="s">
        <v>37</v>
      </c>
      <c r="C25" s="50" t="s">
        <v>37</v>
      </c>
      <c r="D25" s="50" t="s">
        <v>37</v>
      </c>
      <c r="E25" s="50" t="s">
        <v>38</v>
      </c>
      <c r="F25" s="50" t="s">
        <v>38</v>
      </c>
      <c r="G25" s="50" t="s">
        <v>38</v>
      </c>
      <c r="H25" s="50" t="s">
        <v>38</v>
      </c>
      <c r="I25" s="11"/>
    </row>
    <row r="26">
      <c r="A26" s="51">
        <v>46139.0</v>
      </c>
      <c r="B26" s="51">
        <v>46146.0</v>
      </c>
      <c r="C26" s="51">
        <v>46153.0</v>
      </c>
      <c r="D26" s="51">
        <v>46160.0</v>
      </c>
      <c r="E26" s="52">
        <v>566661.0</v>
      </c>
      <c r="I26" s="64">
        <f>E32</f>
        <v>566661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1">
        <v>46140.0</v>
      </c>
      <c r="B27" s="51">
        <v>46147.0</v>
      </c>
      <c r="C27" s="51">
        <v>46154.0</v>
      </c>
      <c r="D27" s="51">
        <v>46161.0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1">
        <v>46141.0</v>
      </c>
      <c r="B28" s="51">
        <v>46148.0</v>
      </c>
      <c r="C28" s="51">
        <v>46155.0</v>
      </c>
      <c r="D28" s="51">
        <v>46162.0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1">
        <v>46142.0</v>
      </c>
      <c r="B29" s="51">
        <v>46149.0</v>
      </c>
      <c r="C29" s="51">
        <v>46156.0</v>
      </c>
      <c r="D29" s="51">
        <v>46163.0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1">
        <v>46143.0</v>
      </c>
      <c r="B30" s="51">
        <v>46150.0</v>
      </c>
      <c r="C30" s="51">
        <v>46157.0</v>
      </c>
      <c r="D30" s="51">
        <v>46164.0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1">
        <v>46144.0</v>
      </c>
      <c r="B31" s="51">
        <v>46151.0</v>
      </c>
      <c r="C31" s="51">
        <v>46158.0</v>
      </c>
      <c r="D31" s="51">
        <v>46165.0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65"/>
      <c r="C32" s="66"/>
      <c r="D32" s="65"/>
      <c r="E32" s="67">
        <f>SUM(E26:H31)</f>
        <v>566661</v>
      </c>
      <c r="I32" s="68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0" t="s">
        <v>39</v>
      </c>
      <c r="B33" s="61"/>
      <c r="C33" s="60" t="s">
        <v>39</v>
      </c>
      <c r="D33" s="61"/>
      <c r="E33" s="69" t="s">
        <v>39</v>
      </c>
      <c r="I33" s="63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0" t="s">
        <v>37</v>
      </c>
      <c r="B35" s="50" t="s">
        <v>37</v>
      </c>
      <c r="C35" s="50" t="s">
        <v>37</v>
      </c>
      <c r="D35" s="50" t="s">
        <v>37</v>
      </c>
      <c r="E35" s="50" t="s">
        <v>38</v>
      </c>
      <c r="F35" s="50" t="s">
        <v>38</v>
      </c>
      <c r="G35" s="50" t="s">
        <v>38</v>
      </c>
      <c r="H35" s="50" t="s">
        <v>38</v>
      </c>
      <c r="I35" s="1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1">
        <v>46167.0</v>
      </c>
      <c r="B36" s="51">
        <v>46174.0</v>
      </c>
      <c r="C36" s="51">
        <v>46181.0</v>
      </c>
      <c r="D36" s="51">
        <v>46188.0</v>
      </c>
      <c r="E36" s="52"/>
      <c r="I36" s="64">
        <f>E42</f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1">
        <v>46168.0</v>
      </c>
      <c r="B37" s="51">
        <v>46175.0</v>
      </c>
      <c r="C37" s="51">
        <v>46182.0</v>
      </c>
      <c r="D37" s="51">
        <v>46189.0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1">
        <v>46169.0</v>
      </c>
      <c r="B38" s="51">
        <v>46176.0</v>
      </c>
      <c r="C38" s="51">
        <v>46183.0</v>
      </c>
      <c r="D38" s="51">
        <v>46190.0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1">
        <v>46170.0</v>
      </c>
      <c r="B39" s="51">
        <v>46177.0</v>
      </c>
      <c r="C39" s="51">
        <v>46184.0</v>
      </c>
      <c r="D39" s="51">
        <v>46191.0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1">
        <v>46171.0</v>
      </c>
      <c r="B40" s="51">
        <v>46178.0</v>
      </c>
      <c r="C40" s="51">
        <v>46185.0</v>
      </c>
      <c r="D40" s="51">
        <v>46192.0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1">
        <v>46172.0</v>
      </c>
      <c r="B41" s="51">
        <v>46179.0</v>
      </c>
      <c r="C41" s="51">
        <v>46186.0</v>
      </c>
      <c r="D41" s="51">
        <v>46193.0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65"/>
      <c r="C42" s="66"/>
      <c r="D42" s="65"/>
      <c r="E42" s="67">
        <f>SUM(E36:H41)</f>
        <v>0</v>
      </c>
      <c r="I42" s="59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0" t="s">
        <v>39</v>
      </c>
      <c r="B43" s="61"/>
      <c r="C43" s="60" t="s">
        <v>39</v>
      </c>
      <c r="D43" s="61"/>
      <c r="E43" s="69" t="s">
        <v>39</v>
      </c>
      <c r="I43" s="63">
        <v>1.0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25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4:I14"/>
    <mergeCell ref="E26:H31"/>
    <mergeCell ref="E32:H32"/>
    <mergeCell ref="E33:H33"/>
    <mergeCell ref="E36:H41"/>
    <mergeCell ref="I36:I41"/>
    <mergeCell ref="E42:H42"/>
    <mergeCell ref="E43:H43"/>
    <mergeCell ref="A44:I44"/>
    <mergeCell ref="E10:F11"/>
    <mergeCell ref="G10:G11"/>
    <mergeCell ref="D16:H21"/>
    <mergeCell ref="I16:I21"/>
    <mergeCell ref="D22:H22"/>
    <mergeCell ref="D23:H23"/>
    <mergeCell ref="I26:I31"/>
  </mergeCells>
  <drawing r:id="rId1"/>
</worksheet>
</file>