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O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<sst xmlns="http://schemas.openxmlformats.org/spreadsheetml/2006/main" count="114" uniqueCount="55">
  <si>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</si>
  <si>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</si>
  <si>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</si>
  <si>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</si>
  <si>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</si>
  <si>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</si>
  <si>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</si>
  <si>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</si>
  <si>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A21977</t>
  </si>
  <si>
    <t xml:space="preserve">VSTRON 160</t>
  </si>
  <si>
    <t xml:space="preserve">SUZUKI</t>
  </si>
  <si>
    <t xml:space="preserve">BJG51I</t>
  </si>
  <si>
    <t xml:space="preserve">56B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</si>
  <si>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</si>
  <si>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</si>
  <si>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</si>
  <si>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</si>
  <si>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</si>
  <si>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</si>
  <si>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</si>
  <si>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</si>
  <si>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</si>
  <si>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</si>
  <si>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CEDULA</t>
  </si>
  <si>
    <t xml:space="preserve">NACIONALIDAD </t>
  </si>
  <si>
    <t xml:space="preserve">NUMERO</t>
  </si>
  <si>
    <t xml:space="preserve">SOAT</t>
  </si>
  <si>
    <t xml:space="preserve">Traspaso de propiedad</t>
  </si>
  <si>
    <t xml:space="preserve">PRESTAMO.</t>
  </si>
  <si>
    <t xml:space="preserve">JOSE VICENTE</t>
  </si>
  <si>
    <t xml:space="preserve">SOLIS </t>
  </si>
  <si>
    <t xml:space="preserve">VENEZOLANA</t>
  </si>
  <si>
    <t xml:space="preserve">ACTIVO</t>
  </si>
  <si>
    <t xml:space="preserve">SALDO ACTUAL PAGADO</t>
  </si>
  <si>
    <t xml:space="preserve">DEUDA  A PAGAR</t>
  </si>
  <si>
    <t xml:space="preserve">DEUDA TOTAL.</t>
  </si>
  <si>
    <t xml:space="preserve">DEUDA ADQUIRIDA </t>
  </si>
  <si>
    <t xml:space="preserve">RENTAL MOTORS S.A.S</t>
  </si>
  <si>
    <t xml:space="preserve">FECHA</t>
  </si>
  <si>
    <t xml:space="preserve">ABONO</t>
  </si>
  <si>
    <t xml:space="preserve">REF.</t>
  </si>
  <si>
    <t xml:space="preserve">M18644513</t>
  </si>
  <si>
    <t xml:space="preserve">M15950026</t>
  </si>
  <si>
    <t xml:space="preserve">M12267521</t>
  </si>
  <si>
    <t xml:space="preserve">M16375936</t>
  </si>
  <si>
    <t xml:space="preserve">M161196</t>
  </si>
  <si>
    <t xml:space="preserve">M05128735</t>
  </si>
  <si>
    <t xml:space="preserve">M03287970</t>
  </si>
  <si>
    <t xml:space="preserve">M27552971</t>
  </si>
  <si>
    <t xml:space="preserve">M14315923</t>
  </si>
  <si>
    <t xml:space="preserve">M16575600</t>
  </si>
  <si>
    <t xml:space="preserve">M17318989</t>
  </si>
  <si>
    <t xml:space="preserve">M17392344</t>
  </si>
  <si>
    <t xml:space="preserve">M19763711</t>
  </si>
  <si>
    <t xml:space="preserve">M03371634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</si>
</sst>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.00"/>
    <numFmt numFmtId="170" formatCode="#,##0"/>
    <numFmt numFmtId="171" formatCode="General"/>
    <numFmt numFmtId="172" formatCode="dd/mm/yyyy"/>
    <numFmt numFmtId="173" formatCode="\$#,##0"/>
  </numFmts>
  <fonts count="2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00000"/>
      <name val="Nunito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3"/>
      <color rgb="FF000000"/>
      <name val="Nunito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0077D9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25"/>
      <color rgb="FF000000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b val="true"/>
      <sz val="20"/>
      <color rgb="FF000000"/>
      <name val="Arial"/>
      <family val="0"/>
      <charset val="1"/>
    </font>
    <font>
      <b val="true"/>
      <sz val="23"/>
      <color rgb="FFFFFFFF"/>
      <name val="Arial"/>
      <family val="0"/>
      <charset val="1"/>
    </font>
    <font>
      <b val="true"/>
      <sz val="11"/>
      <color rgb="FF46BDC6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999999"/>
        <bgColor rgb="FF80808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FF"/>
      </patternFill>
    </fill>
    <fill>
      <patternFill patternType="solid">
        <fgColor rgb="FF3D85C6"/>
        <bgColor rgb="FF4285F4"/>
      </patternFill>
    </fill>
    <fill>
      <patternFill patternType="solid">
        <fgColor rgb="FFF2F2F2"/>
        <bgColor rgb="FFFFFFFF"/>
      </patternFill>
    </fill>
    <fill>
      <patternFill patternType="solid">
        <fgColor rgb="FFB7B7B7"/>
        <bgColor rgb="FF93C47D"/>
      </patternFill>
    </fill>
    <fill>
      <patternFill patternType="solid">
        <fgColor rgb="FFFF6D01"/>
        <bgColor rgb="FFFF9900"/>
      </patternFill>
    </fill>
    <fill>
      <patternFill patternType="solid">
        <fgColor rgb="FFFF9900"/>
        <bgColor rgb="FFFF6D01"/>
      </patternFill>
    </fill>
    <fill>
      <patternFill patternType="solid">
        <fgColor rgb="FF46BDC6"/>
        <bgColor rgb="FF3D85C6"/>
      </patternFill>
    </fill>
    <fill>
      <patternFill patternType="solid">
        <fgColor rgb="FF1155CC"/>
        <bgColor rgb="FF0077D9"/>
      </patternFill>
    </fill>
    <fill>
      <patternFill patternType="solid">
        <fgColor rgb="FFEA4335"/>
        <bgColor rgb="FFFF6D01"/>
      </patternFill>
    </fill>
    <fill>
      <patternFill patternType="solid">
        <fgColor rgb="FFFF0000"/>
        <bgColor rgb="FFEA4335"/>
      </patternFill>
    </fill>
    <fill>
      <patternFill patternType="solid">
        <fgColor rgb="FF4285F4"/>
        <bgColor rgb="FF3D85C6"/>
      </patternFill>
    </fill>
    <fill>
      <patternFill patternType="solid">
        <fgColor rgb="FF93C47D"/>
        <bgColor rgb="FFB7B7B7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7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1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1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1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0" fillId="1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7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7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4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1" fillId="0" borderId="0" xfId="0" applyFont="true" applyBorder="true" applyAlignment="true" applyProtection="false">
      <alignment horizontal="center" vertical="center" textRotation="45" wrapText="false" indent="0" shrinkToFit="false"/>
      <protection locked="true" hidden="false"/>
    </xf>
    <xf numFmtId="165" fontId="22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4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true" applyAlignment="true" applyProtection="false">
      <alignment horizontal="center" vertical="bottom" textRotation="45" wrapText="false" indent="0" shrinkToFit="false"/>
      <protection locked="true" hidden="false"/>
    </xf>
    <xf numFmtId="165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99D6"/>
      <rgbColor rgb="FFB7B7B7"/>
      <rgbColor rgb="FF808080"/>
      <rgbColor rgb="FF9999FF"/>
      <rgbColor rgb="FFEA4335"/>
      <rgbColor rgb="FFF2F2F2"/>
      <rgbColor rgb="FFCCFFFF"/>
      <rgbColor rgb="FF660066"/>
      <rgbColor rgb="FFFF8080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46BDC6"/>
      <rgbColor rgb="FF93C47D"/>
      <rgbColor rgb="FFFFCC00"/>
      <rgbColor rgb="FFFF9900"/>
      <rgbColor rgb="FFFF6D01"/>
      <rgbColor rgb="FF666699"/>
      <rgbColor rgb="FF999999"/>
      <rgbColor rgb="FF003366"/>
      <rgbColor rgb="FF3D85C6"/>
      <rgbColor rgb="FF003300"/>
      <rgbColor rgb="FF333300"/>
      <rgbColor rgb="FF993300"/>
      <rgbColor rgb="FF993366"/>
      <rgbColor rgb="FF1155C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116280</xdr:colOff>
      <xdr:row>0</xdr:row>
      <xdr:rowOff>0</xdr:rowOff>
    </xdr:from>
    <xdr:to>
      <xdr:col>8</xdr:col>
      <xdr:colOff>1592280</xdr:colOff>
      <xdr:row>12</xdr:row>
      <xdr:rowOff>190080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0355040" y="0"/>
          <a:ext cx="1476000" cy="25905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4" topLeftCell="A51" activePane="bottomLeft" state="frozen"/>
      <selection pane="topLeft" activeCell="A1" activeCellId="0" sqref="A1"/>
      <selection pane="bottomLeft" activeCell="I60" activeCellId="0" sqref="I60:I6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9.25"/>
    <col collapsed="false" customWidth="true" hidden="false" outlineLevel="0" max="3" min="3" style="0" width="15.88"/>
    <col collapsed="false" customWidth="true" hidden="false" outlineLevel="0" max="4" min="4" style="0" width="16.75"/>
    <col collapsed="false" customWidth="true" hidden="false" outlineLevel="0" max="5" min="5" style="0" width="16.12"/>
    <col collapsed="false" customWidth="true" hidden="false" outlineLevel="0" max="6" min="6" style="0" width="14.75"/>
    <col collapsed="false" customWidth="true" hidden="false" outlineLevel="0" max="7" min="7" style="0" width="21.12"/>
    <col collapsed="false" customWidth="true" hidden="false" outlineLevel="0" max="8" min="8" style="0" width="20.38"/>
    <col collapsed="false" customWidth="true" hidden="false" outlineLevel="0" max="9" min="9" style="0" width="25.5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4" t="s">
        <v>8</v>
      </c>
      <c r="B2" s="5" t="s">
        <v>9</v>
      </c>
      <c r="C2" s="5" t="n">
        <v>2027</v>
      </c>
      <c r="D2" s="4" t="s">
        <v>10</v>
      </c>
      <c r="E2" s="6" t="s">
        <v>11</v>
      </c>
      <c r="F2" s="7" t="s">
        <v>12</v>
      </c>
      <c r="G2" s="8" t="n">
        <v>14500000</v>
      </c>
      <c r="H2" s="8" t="n">
        <v>2900000</v>
      </c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false" outlineLevel="0" collapsed="false">
      <c r="A3" s="9"/>
      <c r="B3" s="9"/>
      <c r="C3" s="9"/>
      <c r="D3" s="9"/>
      <c r="E3" s="9"/>
      <c r="F3" s="9"/>
      <c r="G3" s="9"/>
      <c r="H3" s="9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false" outlineLevel="0" collapsed="false">
      <c r="A4" s="10" t="s">
        <v>13</v>
      </c>
      <c r="B4" s="11" t="s">
        <v>14</v>
      </c>
      <c r="C4" s="11" t="s">
        <v>15</v>
      </c>
      <c r="D4" s="11" t="s">
        <v>16</v>
      </c>
      <c r="E4" s="11" t="s">
        <v>17</v>
      </c>
      <c r="F4" s="11" t="s">
        <v>18</v>
      </c>
      <c r="G4" s="11" t="s">
        <v>19</v>
      </c>
      <c r="H4" s="11" t="s">
        <v>20</v>
      </c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false" outlineLevel="0" collapsed="false">
      <c r="A5" s="12" t="n">
        <f aca="false">G2-H2</f>
        <v>11600000</v>
      </c>
      <c r="B5" s="12" t="n">
        <v>2.9587</v>
      </c>
      <c r="C5" s="13" t="n">
        <f aca="false">A5*B5</f>
        <v>34320920</v>
      </c>
      <c r="D5" s="14" t="n">
        <v>26</v>
      </c>
      <c r="E5" s="15" t="n">
        <f aca="false">C5/D5</f>
        <v>1320035.385</v>
      </c>
      <c r="F5" s="16" t="n">
        <f aca="false">E5/2</f>
        <v>660017.6925</v>
      </c>
      <c r="G5" s="17" t="n">
        <f aca="false">F5/2</f>
        <v>330008.84625</v>
      </c>
      <c r="H5" s="15" t="n">
        <f aca="false">G5/6</f>
        <v>55001.47436</v>
      </c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false" outlineLevel="0" collapsed="false">
      <c r="A6" s="18" t="s">
        <v>21</v>
      </c>
      <c r="B6" s="18" t="s">
        <v>22</v>
      </c>
      <c r="C6" s="18" t="s">
        <v>23</v>
      </c>
      <c r="D6" s="18" t="s">
        <v>24</v>
      </c>
      <c r="E6" s="18" t="s">
        <v>25</v>
      </c>
      <c r="F6" s="19" t="s">
        <v>26</v>
      </c>
      <c r="G6" s="20" t="s">
        <v>27</v>
      </c>
      <c r="H6" s="20" t="s">
        <v>28</v>
      </c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false" outlineLevel="0" collapsed="false">
      <c r="A7" s="21" t="s">
        <v>29</v>
      </c>
      <c r="B7" s="21" t="s">
        <v>30</v>
      </c>
      <c r="C7" s="21" t="n">
        <v>5009882</v>
      </c>
      <c r="D7" s="21" t="s">
        <v>31</v>
      </c>
      <c r="E7" s="22" t="n">
        <v>3245120086</v>
      </c>
      <c r="F7" s="23" t="s">
        <v>32</v>
      </c>
      <c r="G7" s="23" t="s">
        <v>32</v>
      </c>
      <c r="H7" s="24"/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false" outlineLevel="0" collapsed="false">
      <c r="A8" s="25"/>
      <c r="B8" s="25"/>
      <c r="C8" s="25"/>
      <c r="D8" s="25"/>
      <c r="E8" s="26"/>
      <c r="F8" s="27"/>
      <c r="G8" s="28"/>
      <c r="H8" s="29"/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false" outlineLevel="0" collapsed="false">
      <c r="A9" s="30" t="s">
        <v>33</v>
      </c>
      <c r="B9" s="30"/>
      <c r="C9" s="31" t="s">
        <v>34</v>
      </c>
      <c r="D9" s="31"/>
      <c r="E9" s="32" t="s">
        <v>35</v>
      </c>
      <c r="F9" s="32"/>
      <c r="G9" s="33" t="s">
        <v>36</v>
      </c>
      <c r="H9" s="34" t="s">
        <v>16</v>
      </c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false" outlineLevel="0" collapsed="false">
      <c r="A10" s="35" t="n">
        <f aca="false">I16+I27+I38+I49+I60</f>
        <v>5340000</v>
      </c>
      <c r="B10" s="35"/>
      <c r="C10" s="36" t="n">
        <f aca="false">C5-A10</f>
        <v>28980920</v>
      </c>
      <c r="D10" s="36"/>
      <c r="E10" s="37" t="n">
        <f aca="false">C10+G10</f>
        <v>28980920</v>
      </c>
      <c r="F10" s="37"/>
      <c r="G10" s="38"/>
      <c r="H10" s="34"/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false" outlineLevel="0" collapsed="false">
      <c r="A11" s="35"/>
      <c r="B11" s="35"/>
      <c r="C11" s="36"/>
      <c r="D11" s="36"/>
      <c r="E11" s="37"/>
      <c r="F11" s="37"/>
      <c r="G11" s="38"/>
      <c r="H11" s="39" t="n">
        <f aca="false">I23+I34+I45+I56+I67</f>
        <v>4</v>
      </c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.75" hidden="false" customHeight="false" outlineLevel="0" collapsed="false">
      <c r="A12" s="40" t="s">
        <v>37</v>
      </c>
      <c r="B12" s="40"/>
      <c r="C12" s="40"/>
      <c r="D12" s="40"/>
      <c r="E12" s="41"/>
      <c r="F12" s="42"/>
      <c r="G12" s="42"/>
      <c r="H12" s="39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.75" hidden="false" customHeight="false" outlineLevel="0" collapsed="false">
      <c r="A15" s="43" t="s">
        <v>38</v>
      </c>
      <c r="B15" s="43" t="s">
        <v>39</v>
      </c>
      <c r="C15" s="43" t="s">
        <v>38</v>
      </c>
      <c r="D15" s="43" t="s">
        <v>39</v>
      </c>
      <c r="E15" s="43" t="s">
        <v>38</v>
      </c>
      <c r="F15" s="43" t="s">
        <v>39</v>
      </c>
      <c r="G15" s="43" t="s">
        <v>38</v>
      </c>
      <c r="H15" s="43" t="s">
        <v>39</v>
      </c>
      <c r="I15" s="25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3.8" hidden="false" customHeight="false" outlineLevel="0" collapsed="false">
      <c r="A16" s="44" t="n">
        <v>46060</v>
      </c>
      <c r="B16" s="45" t="n">
        <v>60000</v>
      </c>
      <c r="C16" s="44" t="n">
        <v>46062</v>
      </c>
      <c r="D16" s="45" t="n">
        <v>330000</v>
      </c>
      <c r="E16" s="44" t="n">
        <v>46069</v>
      </c>
      <c r="F16" s="45" t="n">
        <v>330000</v>
      </c>
      <c r="G16" s="44" t="n">
        <v>46076</v>
      </c>
      <c r="H16" s="45" t="n">
        <v>330000</v>
      </c>
      <c r="I16" s="46" t="n">
        <f aca="false">B22+D22+F22+H22</f>
        <v>1050000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3.8" hidden="false" customHeight="false" outlineLevel="0" collapsed="false">
      <c r="A17" s="44" t="n">
        <v>46060</v>
      </c>
      <c r="B17" s="45"/>
      <c r="C17" s="44" t="n">
        <v>46063</v>
      </c>
      <c r="D17" s="45"/>
      <c r="E17" s="44" t="n">
        <v>46070</v>
      </c>
      <c r="F17" s="45"/>
      <c r="G17" s="44" t="n">
        <v>46077</v>
      </c>
      <c r="H17" s="45"/>
      <c r="I17" s="45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3.8" hidden="false" customHeight="false" outlineLevel="0" collapsed="false">
      <c r="A18" s="44" t="n">
        <v>46060</v>
      </c>
      <c r="B18" s="45"/>
      <c r="C18" s="44" t="n">
        <v>46064</v>
      </c>
      <c r="D18" s="45"/>
      <c r="E18" s="44" t="n">
        <v>46071</v>
      </c>
      <c r="F18" s="45"/>
      <c r="G18" s="44" t="n">
        <v>46078</v>
      </c>
      <c r="H18" s="45"/>
      <c r="I18" s="45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3.8" hidden="false" customHeight="false" outlineLevel="0" collapsed="false">
      <c r="A19" s="44" t="n">
        <v>46060</v>
      </c>
      <c r="B19" s="45"/>
      <c r="C19" s="44" t="n">
        <v>46065</v>
      </c>
      <c r="D19" s="45"/>
      <c r="E19" s="44" t="n">
        <v>46072</v>
      </c>
      <c r="F19" s="45"/>
      <c r="G19" s="44" t="n">
        <v>46079</v>
      </c>
      <c r="H19" s="45"/>
      <c r="I19" s="45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3.8" hidden="false" customHeight="false" outlineLevel="0" collapsed="false">
      <c r="A20" s="44" t="n">
        <v>46060</v>
      </c>
      <c r="B20" s="45"/>
      <c r="C20" s="44" t="n">
        <v>46066</v>
      </c>
      <c r="D20" s="45"/>
      <c r="E20" s="44" t="n">
        <v>46073</v>
      </c>
      <c r="F20" s="45"/>
      <c r="G20" s="44" t="n">
        <v>46080</v>
      </c>
      <c r="H20" s="45"/>
      <c r="I20" s="45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false" outlineLevel="0" collapsed="false">
      <c r="A21" s="44" t="n">
        <v>46060</v>
      </c>
      <c r="B21" s="45"/>
      <c r="C21" s="44" t="n">
        <v>46067</v>
      </c>
      <c r="D21" s="45"/>
      <c r="E21" s="44" t="n">
        <v>46074</v>
      </c>
      <c r="F21" s="45"/>
      <c r="G21" s="44" t="n">
        <v>46081</v>
      </c>
      <c r="H21" s="45"/>
      <c r="I21" s="4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false" outlineLevel="0" collapsed="false">
      <c r="A22" s="25"/>
      <c r="B22" s="47" t="n">
        <f aca="false">SUM(B16:B21)</f>
        <v>60000</v>
      </c>
      <c r="C22" s="25"/>
      <c r="D22" s="47" t="n">
        <f aca="false">SUM(D16:D21)</f>
        <v>330000</v>
      </c>
      <c r="E22" s="25"/>
      <c r="F22" s="47" t="n">
        <f aca="false">SUM(F16:F21)</f>
        <v>330000</v>
      </c>
      <c r="G22" s="25"/>
      <c r="H22" s="47" t="n">
        <f aca="false">SUM(H16:H21)</f>
        <v>330000</v>
      </c>
      <c r="I22" s="48" t="n">
        <v>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false" outlineLevel="0" collapsed="false">
      <c r="A23" s="43" t="s">
        <v>40</v>
      </c>
      <c r="B23" s="49" t="s">
        <v>41</v>
      </c>
      <c r="C23" s="43" t="s">
        <v>40</v>
      </c>
      <c r="D23" s="49" t="s">
        <v>42</v>
      </c>
      <c r="E23" s="43" t="s">
        <v>40</v>
      </c>
      <c r="F23" s="49" t="s">
        <v>43</v>
      </c>
      <c r="G23" s="43" t="s">
        <v>40</v>
      </c>
      <c r="H23" s="49" t="s">
        <v>44</v>
      </c>
      <c r="I23" s="50" t="n">
        <v>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false" outlineLevel="0" collapsed="false">
      <c r="A24" s="51"/>
      <c r="B24" s="51"/>
      <c r="C24" s="51"/>
      <c r="D24" s="51"/>
      <c r="E24" s="51"/>
      <c r="F24" s="51"/>
      <c r="G24" s="51"/>
      <c r="H24" s="51"/>
      <c r="I24" s="51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false" outlineLevel="0" collapsed="false">
      <c r="A26" s="43" t="s">
        <v>38</v>
      </c>
      <c r="B26" s="43" t="s">
        <v>39</v>
      </c>
      <c r="C26" s="43" t="s">
        <v>38</v>
      </c>
      <c r="D26" s="43" t="s">
        <v>39</v>
      </c>
      <c r="E26" s="43" t="s">
        <v>38</v>
      </c>
      <c r="F26" s="43" t="s">
        <v>39</v>
      </c>
      <c r="G26" s="43" t="s">
        <v>38</v>
      </c>
      <c r="H26" s="43" t="s">
        <v>39</v>
      </c>
      <c r="I26" s="25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false" outlineLevel="0" collapsed="false">
      <c r="A27" s="44" t="n">
        <v>46083</v>
      </c>
      <c r="B27" s="45" t="n">
        <v>330000</v>
      </c>
      <c r="C27" s="44" t="n">
        <v>46090</v>
      </c>
      <c r="D27" s="45" t="n">
        <v>330000</v>
      </c>
      <c r="E27" s="44" t="n">
        <v>46097</v>
      </c>
      <c r="F27" s="45" t="n">
        <v>330000</v>
      </c>
      <c r="G27" s="44" t="n">
        <v>46104</v>
      </c>
      <c r="H27" s="45" t="n">
        <v>330000</v>
      </c>
      <c r="I27" s="46" t="n">
        <f aca="false">B33+D33+F33+H33</f>
        <v>1320000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false" outlineLevel="0" collapsed="false">
      <c r="A28" s="44" t="n">
        <v>46084</v>
      </c>
      <c r="B28" s="45"/>
      <c r="C28" s="44" t="n">
        <v>46091</v>
      </c>
      <c r="D28" s="45"/>
      <c r="E28" s="44" t="n">
        <v>46098</v>
      </c>
      <c r="F28" s="45"/>
      <c r="G28" s="44" t="n">
        <v>46105</v>
      </c>
      <c r="H28" s="45"/>
      <c r="I28" s="45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false" outlineLevel="0" collapsed="false">
      <c r="A29" s="44" t="n">
        <v>46085</v>
      </c>
      <c r="B29" s="45"/>
      <c r="C29" s="44" t="n">
        <v>46092</v>
      </c>
      <c r="D29" s="45"/>
      <c r="E29" s="44" t="n">
        <v>46099</v>
      </c>
      <c r="F29" s="45"/>
      <c r="G29" s="44" t="n">
        <v>46106</v>
      </c>
      <c r="H29" s="45"/>
      <c r="I29" s="45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false" outlineLevel="0" collapsed="false">
      <c r="A30" s="44" t="n">
        <v>46086</v>
      </c>
      <c r="B30" s="45"/>
      <c r="C30" s="44" t="n">
        <v>46093</v>
      </c>
      <c r="D30" s="45"/>
      <c r="E30" s="44" t="n">
        <v>46100</v>
      </c>
      <c r="F30" s="45"/>
      <c r="G30" s="44" t="n">
        <v>46107</v>
      </c>
      <c r="H30" s="45"/>
      <c r="I30" s="45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false" outlineLevel="0" collapsed="false">
      <c r="A31" s="44" t="n">
        <v>46087</v>
      </c>
      <c r="B31" s="45"/>
      <c r="C31" s="44" t="n">
        <v>46094</v>
      </c>
      <c r="D31" s="45"/>
      <c r="E31" s="44" t="n">
        <v>46101</v>
      </c>
      <c r="F31" s="45"/>
      <c r="G31" s="44" t="n">
        <v>46108</v>
      </c>
      <c r="H31" s="45"/>
      <c r="I31" s="45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false" outlineLevel="0" collapsed="false">
      <c r="A32" s="44" t="n">
        <v>46088</v>
      </c>
      <c r="B32" s="45"/>
      <c r="C32" s="44" t="n">
        <v>46095</v>
      </c>
      <c r="D32" s="45"/>
      <c r="E32" s="44" t="n">
        <v>46102</v>
      </c>
      <c r="F32" s="45"/>
      <c r="G32" s="44" t="n">
        <v>46109</v>
      </c>
      <c r="H32" s="45"/>
      <c r="I32" s="45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false" outlineLevel="0" collapsed="false">
      <c r="A33" s="25"/>
      <c r="B33" s="47" t="n">
        <f aca="false">SUM(B27:B32)</f>
        <v>330000</v>
      </c>
      <c r="C33" s="25"/>
      <c r="D33" s="47" t="n">
        <f aca="false">SUM(D27:D32)</f>
        <v>330000</v>
      </c>
      <c r="E33" s="25"/>
      <c r="F33" s="47" t="n">
        <f aca="false">SUM(F27:F32)</f>
        <v>330000</v>
      </c>
      <c r="G33" s="25"/>
      <c r="H33" s="47" t="n">
        <f aca="false">SUM(H27:H32)</f>
        <v>330000</v>
      </c>
      <c r="I33" s="48" t="n">
        <v>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false" outlineLevel="0" collapsed="false">
      <c r="A34" s="43" t="s">
        <v>40</v>
      </c>
      <c r="B34" s="49" t="s">
        <v>45</v>
      </c>
      <c r="C34" s="43" t="s">
        <v>40</v>
      </c>
      <c r="D34" s="49" t="s">
        <v>46</v>
      </c>
      <c r="E34" s="43" t="s">
        <v>40</v>
      </c>
      <c r="F34" s="49" t="s">
        <v>47</v>
      </c>
      <c r="G34" s="43" t="s">
        <v>40</v>
      </c>
      <c r="H34" s="49" t="s">
        <v>48</v>
      </c>
      <c r="I34" s="50" t="n">
        <v>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false" outlineLevel="0" collapsed="false">
      <c r="A35" s="51"/>
      <c r="B35" s="51"/>
      <c r="C35" s="51"/>
      <c r="D35" s="51"/>
      <c r="E35" s="51"/>
      <c r="F35" s="51"/>
      <c r="G35" s="51"/>
      <c r="H35" s="51"/>
      <c r="I35" s="51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fals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false" outlineLevel="0" collapsed="false">
      <c r="A37" s="43" t="s">
        <v>38</v>
      </c>
      <c r="B37" s="43" t="s">
        <v>39</v>
      </c>
      <c r="C37" s="43" t="s">
        <v>38</v>
      </c>
      <c r="D37" s="43" t="s">
        <v>39</v>
      </c>
      <c r="E37" s="43" t="s">
        <v>38</v>
      </c>
      <c r="F37" s="43" t="s">
        <v>39</v>
      </c>
      <c r="G37" s="43" t="s">
        <v>38</v>
      </c>
      <c r="H37" s="43" t="s">
        <v>39</v>
      </c>
      <c r="I37" s="25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false" outlineLevel="0" collapsed="false">
      <c r="A38" s="44" t="n">
        <v>46111</v>
      </c>
      <c r="B38" s="45" t="n">
        <v>330000</v>
      </c>
      <c r="C38" s="44" t="n">
        <v>46118</v>
      </c>
      <c r="D38" s="45" t="n">
        <v>330000</v>
      </c>
      <c r="E38" s="44" t="n">
        <v>46125</v>
      </c>
      <c r="F38" s="45" t="n">
        <v>330000</v>
      </c>
      <c r="G38" s="44" t="n">
        <v>46132</v>
      </c>
      <c r="H38" s="45" t="n">
        <v>330000</v>
      </c>
      <c r="I38" s="46" t="n">
        <f aca="false">B44+D44+F44+H44</f>
        <v>1320000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false" outlineLevel="0" collapsed="false">
      <c r="A39" s="44" t="n">
        <v>46112</v>
      </c>
      <c r="B39" s="45"/>
      <c r="C39" s="44" t="n">
        <v>46119</v>
      </c>
      <c r="D39" s="45"/>
      <c r="E39" s="44" t="n">
        <v>46126</v>
      </c>
      <c r="F39" s="45"/>
      <c r="G39" s="44" t="n">
        <v>46133</v>
      </c>
      <c r="H39" s="45"/>
      <c r="I39" s="45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false" outlineLevel="0" collapsed="false">
      <c r="A40" s="44" t="n">
        <v>46113</v>
      </c>
      <c r="B40" s="45"/>
      <c r="C40" s="44" t="n">
        <v>46120</v>
      </c>
      <c r="D40" s="45"/>
      <c r="E40" s="44" t="n">
        <v>46127</v>
      </c>
      <c r="F40" s="45"/>
      <c r="G40" s="44" t="n">
        <v>46134</v>
      </c>
      <c r="H40" s="45"/>
      <c r="I40" s="45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false" outlineLevel="0" collapsed="false">
      <c r="A41" s="44" t="n">
        <v>46114</v>
      </c>
      <c r="B41" s="45"/>
      <c r="C41" s="44" t="n">
        <v>46121</v>
      </c>
      <c r="D41" s="45"/>
      <c r="E41" s="44" t="n">
        <v>46128</v>
      </c>
      <c r="F41" s="45"/>
      <c r="G41" s="44" t="n">
        <v>46135</v>
      </c>
      <c r="H41" s="45"/>
      <c r="I41" s="45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false" outlineLevel="0" collapsed="false">
      <c r="A42" s="44" t="n">
        <v>46115</v>
      </c>
      <c r="B42" s="45"/>
      <c r="C42" s="44" t="n">
        <v>46122</v>
      </c>
      <c r="D42" s="45"/>
      <c r="E42" s="44" t="n">
        <v>46129</v>
      </c>
      <c r="F42" s="45"/>
      <c r="G42" s="44" t="n">
        <v>46136</v>
      </c>
      <c r="H42" s="45"/>
      <c r="I42" s="45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false" outlineLevel="0" collapsed="false">
      <c r="A43" s="44" t="n">
        <v>46116</v>
      </c>
      <c r="B43" s="45"/>
      <c r="C43" s="44" t="n">
        <v>46123</v>
      </c>
      <c r="D43" s="45"/>
      <c r="E43" s="44" t="n">
        <v>46130</v>
      </c>
      <c r="F43" s="45"/>
      <c r="G43" s="44" t="n">
        <v>46137</v>
      </c>
      <c r="H43" s="45"/>
      <c r="I43" s="45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false" outlineLevel="0" collapsed="false">
      <c r="A44" s="25"/>
      <c r="B44" s="47" t="n">
        <f aca="false">SUM(B38:B43)</f>
        <v>330000</v>
      </c>
      <c r="C44" s="25"/>
      <c r="D44" s="47" t="n">
        <f aca="false">SUM(D38:D43)</f>
        <v>330000</v>
      </c>
      <c r="E44" s="25"/>
      <c r="F44" s="47" t="n">
        <f aca="false">SUM(F38:F43)</f>
        <v>330000</v>
      </c>
      <c r="G44" s="25"/>
      <c r="H44" s="47" t="n">
        <f aca="false">SUM(H38:H43)</f>
        <v>330000</v>
      </c>
      <c r="I44" s="48" t="n">
        <v>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false" outlineLevel="0" collapsed="false">
      <c r="A45" s="43" t="s">
        <v>40</v>
      </c>
      <c r="B45" s="52"/>
      <c r="C45" s="43" t="s">
        <v>40</v>
      </c>
      <c r="D45" s="49" t="s">
        <v>49</v>
      </c>
      <c r="E45" s="43" t="s">
        <v>40</v>
      </c>
      <c r="F45" s="52"/>
      <c r="G45" s="43" t="s">
        <v>40</v>
      </c>
      <c r="H45" s="49" t="s">
        <v>50</v>
      </c>
      <c r="I45" s="50" t="n">
        <v>1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false" outlineLevel="0" collapsed="false">
      <c r="A46" s="51"/>
      <c r="B46" s="51"/>
      <c r="C46" s="51"/>
      <c r="D46" s="51"/>
      <c r="E46" s="51"/>
      <c r="F46" s="51"/>
      <c r="G46" s="51"/>
      <c r="H46" s="51"/>
      <c r="I46" s="51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fals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false" outlineLevel="0" collapsed="false">
      <c r="A48" s="43" t="s">
        <v>38</v>
      </c>
      <c r="B48" s="43" t="s">
        <v>39</v>
      </c>
      <c r="C48" s="43" t="s">
        <v>38</v>
      </c>
      <c r="D48" s="43" t="s">
        <v>39</v>
      </c>
      <c r="E48" s="43" t="s">
        <v>38</v>
      </c>
      <c r="F48" s="43" t="s">
        <v>39</v>
      </c>
      <c r="G48" s="43" t="s">
        <v>38</v>
      </c>
      <c r="H48" s="43" t="s">
        <v>39</v>
      </c>
      <c r="I48" s="25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false" outlineLevel="0" collapsed="false">
      <c r="A49" s="44" t="n">
        <v>46139</v>
      </c>
      <c r="B49" s="45" t="n">
        <v>330000</v>
      </c>
      <c r="C49" s="44" t="n">
        <v>46146</v>
      </c>
      <c r="D49" s="45" t="n">
        <v>330000</v>
      </c>
      <c r="E49" s="44" t="n">
        <v>46153</v>
      </c>
      <c r="F49" s="45" t="n">
        <v>330000</v>
      </c>
      <c r="G49" s="44" t="n">
        <v>46160</v>
      </c>
      <c r="H49" s="45" t="n">
        <v>330000</v>
      </c>
      <c r="I49" s="46" t="n">
        <f aca="false">B55+D55+F55+H55</f>
        <v>1320000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false" outlineLevel="0" collapsed="false">
      <c r="A50" s="44" t="n">
        <v>46140</v>
      </c>
      <c r="B50" s="45"/>
      <c r="C50" s="44" t="n">
        <v>46147</v>
      </c>
      <c r="D50" s="45"/>
      <c r="E50" s="44" t="n">
        <v>46154</v>
      </c>
      <c r="F50" s="45"/>
      <c r="G50" s="44" t="n">
        <v>46161</v>
      </c>
      <c r="H50" s="45"/>
      <c r="I50" s="45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false" outlineLevel="0" collapsed="false">
      <c r="A51" s="44" t="n">
        <v>46141</v>
      </c>
      <c r="B51" s="45"/>
      <c r="C51" s="44" t="n">
        <v>46148</v>
      </c>
      <c r="D51" s="45"/>
      <c r="E51" s="44" t="n">
        <v>46155</v>
      </c>
      <c r="F51" s="45"/>
      <c r="G51" s="44" t="n">
        <v>46162</v>
      </c>
      <c r="H51" s="45"/>
      <c r="I51" s="45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false" outlineLevel="0" collapsed="false">
      <c r="A52" s="44" t="n">
        <v>46142</v>
      </c>
      <c r="B52" s="45"/>
      <c r="C52" s="44" t="n">
        <v>46149</v>
      </c>
      <c r="D52" s="45"/>
      <c r="E52" s="44" t="n">
        <v>46156</v>
      </c>
      <c r="F52" s="45"/>
      <c r="G52" s="44" t="n">
        <v>46163</v>
      </c>
      <c r="H52" s="45"/>
      <c r="I52" s="45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false" outlineLevel="0" collapsed="false">
      <c r="A53" s="44" t="n">
        <v>46143</v>
      </c>
      <c r="B53" s="45"/>
      <c r="C53" s="44" t="n">
        <v>46150</v>
      </c>
      <c r="D53" s="45"/>
      <c r="E53" s="44" t="n">
        <v>46157</v>
      </c>
      <c r="F53" s="45"/>
      <c r="G53" s="44" t="n">
        <v>46164</v>
      </c>
      <c r="H53" s="45"/>
      <c r="I53" s="45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false" outlineLevel="0" collapsed="false">
      <c r="A54" s="44" t="n">
        <v>46144</v>
      </c>
      <c r="B54" s="45"/>
      <c r="C54" s="44" t="n">
        <v>46151</v>
      </c>
      <c r="D54" s="45"/>
      <c r="E54" s="44" t="n">
        <v>46158</v>
      </c>
      <c r="F54" s="45"/>
      <c r="G54" s="44" t="n">
        <v>46165</v>
      </c>
      <c r="H54" s="45"/>
      <c r="I54" s="45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false" outlineLevel="0" collapsed="false">
      <c r="A55" s="25"/>
      <c r="B55" s="47" t="n">
        <f aca="false">SUM(B49:B54)</f>
        <v>330000</v>
      </c>
      <c r="C55" s="25"/>
      <c r="D55" s="47" t="n">
        <f aca="false">SUM(D49:D54)</f>
        <v>330000</v>
      </c>
      <c r="E55" s="25"/>
      <c r="F55" s="47" t="n">
        <f aca="false">SUM(F49:F54)</f>
        <v>330000</v>
      </c>
      <c r="G55" s="25"/>
      <c r="H55" s="47" t="n">
        <f aca="false">SUM(H49:H54)</f>
        <v>330000</v>
      </c>
      <c r="I55" s="48" t="n">
        <v>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false" outlineLevel="0" collapsed="false">
      <c r="A56" s="43" t="s">
        <v>40</v>
      </c>
      <c r="B56" s="49" t="s">
        <v>51</v>
      </c>
      <c r="C56" s="43" t="s">
        <v>40</v>
      </c>
      <c r="D56" s="49" t="s">
        <v>52</v>
      </c>
      <c r="E56" s="43" t="s">
        <v>40</v>
      </c>
      <c r="F56" s="49" t="s">
        <v>53</v>
      </c>
      <c r="G56" s="43" t="s">
        <v>40</v>
      </c>
      <c r="H56" s="49" t="s">
        <v>54</v>
      </c>
      <c r="I56" s="50" t="n">
        <v>1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false" outlineLevel="0" collapsed="false">
      <c r="A57" s="51"/>
      <c r="B57" s="51"/>
      <c r="C57" s="51"/>
      <c r="D57" s="51"/>
      <c r="E57" s="51"/>
      <c r="F57" s="51"/>
      <c r="G57" s="51"/>
      <c r="H57" s="51"/>
      <c r="I57" s="51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false" outlineLevel="0" collapsed="false">
      <c r="A58" s="9"/>
      <c r="B58" s="9"/>
      <c r="C58" s="9"/>
      <c r="D58" s="9"/>
      <c r="E58" s="9"/>
      <c r="F58" s="9"/>
      <c r="G58" s="9"/>
      <c r="H58" s="9"/>
      <c r="I58" s="9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false" outlineLevel="0" collapsed="false">
      <c r="A59" s="43" t="s">
        <v>38</v>
      </c>
      <c r="B59" s="43" t="s">
        <v>39</v>
      </c>
      <c r="C59" s="43" t="s">
        <v>38</v>
      </c>
      <c r="D59" s="43" t="s">
        <v>39</v>
      </c>
      <c r="E59" s="43" t="s">
        <v>38</v>
      </c>
      <c r="F59" s="43" t="s">
        <v>39</v>
      </c>
      <c r="G59" s="43" t="s">
        <v>38</v>
      </c>
      <c r="H59" s="43" t="s">
        <v>39</v>
      </c>
      <c r="I59" s="25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3.8" hidden="false" customHeight="false" outlineLevel="0" collapsed="false">
      <c r="A60" s="44" t="n">
        <v>46167</v>
      </c>
      <c r="B60" s="45" t="n">
        <v>330000</v>
      </c>
      <c r="C60" s="44" t="n">
        <v>46174</v>
      </c>
      <c r="D60" s="53"/>
      <c r="E60" s="44" t="n">
        <v>46181</v>
      </c>
      <c r="F60" s="53"/>
      <c r="G60" s="44" t="n">
        <v>46188</v>
      </c>
      <c r="H60" s="53"/>
      <c r="I60" s="45" t="n">
        <v>330000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3.8" hidden="false" customHeight="false" outlineLevel="0" collapsed="false">
      <c r="A61" s="44" t="n">
        <v>46168</v>
      </c>
      <c r="B61" s="45"/>
      <c r="C61" s="44" t="n">
        <v>46175</v>
      </c>
      <c r="D61" s="53"/>
      <c r="E61" s="44" t="n">
        <v>46182</v>
      </c>
      <c r="F61" s="53"/>
      <c r="G61" s="44" t="n">
        <v>46189</v>
      </c>
      <c r="H61" s="53"/>
      <c r="I61" s="5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3.8" hidden="false" customHeight="false" outlineLevel="0" collapsed="false">
      <c r="A62" s="44" t="n">
        <v>46169</v>
      </c>
      <c r="B62" s="45"/>
      <c r="C62" s="44" t="n">
        <v>46176</v>
      </c>
      <c r="D62" s="53"/>
      <c r="E62" s="44" t="n">
        <v>46183</v>
      </c>
      <c r="F62" s="53"/>
      <c r="G62" s="44" t="n">
        <v>46190</v>
      </c>
      <c r="H62" s="53"/>
      <c r="I62" s="5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3.8" hidden="false" customHeight="false" outlineLevel="0" collapsed="false">
      <c r="A63" s="44" t="n">
        <v>46170</v>
      </c>
      <c r="B63" s="45"/>
      <c r="C63" s="44" t="n">
        <v>46177</v>
      </c>
      <c r="D63" s="53"/>
      <c r="E63" s="44" t="n">
        <v>46184</v>
      </c>
      <c r="F63" s="53"/>
      <c r="G63" s="44" t="n">
        <v>46191</v>
      </c>
      <c r="H63" s="53"/>
      <c r="I63" s="5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3.8" hidden="false" customHeight="false" outlineLevel="0" collapsed="false">
      <c r="A64" s="44" t="n">
        <v>46171</v>
      </c>
      <c r="B64" s="45"/>
      <c r="C64" s="44" t="n">
        <v>46178</v>
      </c>
      <c r="D64" s="53"/>
      <c r="E64" s="44" t="n">
        <v>46185</v>
      </c>
      <c r="F64" s="53"/>
      <c r="G64" s="44" t="n">
        <v>46192</v>
      </c>
      <c r="H64" s="53"/>
      <c r="I64" s="5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3.8" hidden="false" customHeight="false" outlineLevel="0" collapsed="false">
      <c r="A65" s="44" t="n">
        <v>46172</v>
      </c>
      <c r="B65" s="45"/>
      <c r="C65" s="44" t="n">
        <v>46179</v>
      </c>
      <c r="D65" s="53"/>
      <c r="E65" s="44" t="n">
        <v>46186</v>
      </c>
      <c r="F65" s="53"/>
      <c r="G65" s="44" t="n">
        <v>46193</v>
      </c>
      <c r="H65" s="53"/>
      <c r="I65" s="5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false" outlineLevel="0" collapsed="false">
      <c r="A66" s="25"/>
      <c r="B66" s="54" t="n">
        <f aca="false">B65</f>
        <v>0</v>
      </c>
      <c r="C66" s="25"/>
      <c r="D66" s="47" t="n">
        <f aca="false">SUM(D60:D65)</f>
        <v>0</v>
      </c>
      <c r="E66" s="25"/>
      <c r="F66" s="47" t="n">
        <f aca="false">SUM(F60:F65)</f>
        <v>0</v>
      </c>
      <c r="G66" s="25"/>
      <c r="H66" s="47" t="n">
        <f aca="false">SUM(H60:H65)</f>
        <v>0</v>
      </c>
      <c r="I66" s="48" t="n">
        <v>5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false" outlineLevel="0" collapsed="false">
      <c r="A67" s="43" t="s">
        <v>40</v>
      </c>
      <c r="B67" s="52"/>
      <c r="C67" s="43" t="s">
        <v>40</v>
      </c>
      <c r="D67" s="52"/>
      <c r="E67" s="43" t="s">
        <v>40</v>
      </c>
      <c r="F67" s="52"/>
      <c r="G67" s="43" t="s">
        <v>40</v>
      </c>
      <c r="H67" s="52"/>
      <c r="I67" s="50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false" outlineLevel="0" collapsed="false">
      <c r="A68" s="51"/>
      <c r="B68" s="51"/>
      <c r="C68" s="51"/>
      <c r="D68" s="51"/>
      <c r="E68" s="51"/>
      <c r="F68" s="51"/>
      <c r="G68" s="51"/>
      <c r="H68" s="51"/>
      <c r="I68" s="51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false" outlineLevel="0" collapsed="false">
      <c r="A69" s="9"/>
      <c r="B69" s="9"/>
      <c r="C69" s="9"/>
      <c r="D69" s="9"/>
      <c r="E69" s="9"/>
      <c r="F69" s="9"/>
      <c r="G69" s="9"/>
      <c r="H69" s="9"/>
      <c r="I69" s="9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</sheetData>
  <mergeCells count="36">
    <mergeCell ref="I1:I12"/>
    <mergeCell ref="A9:B9"/>
    <mergeCell ref="C9:D9"/>
    <mergeCell ref="E9:F9"/>
    <mergeCell ref="H9:H10"/>
    <mergeCell ref="A10:B11"/>
    <mergeCell ref="C10:D11"/>
    <mergeCell ref="E10:F11"/>
    <mergeCell ref="G10:G11"/>
    <mergeCell ref="H11:H12"/>
    <mergeCell ref="A12:D12"/>
    <mergeCell ref="B16:B21"/>
    <mergeCell ref="D16:D21"/>
    <mergeCell ref="F16:F21"/>
    <mergeCell ref="H16:H21"/>
    <mergeCell ref="I16:I21"/>
    <mergeCell ref="B27:B32"/>
    <mergeCell ref="D27:D32"/>
    <mergeCell ref="F27:F32"/>
    <mergeCell ref="H27:H32"/>
    <mergeCell ref="I27:I32"/>
    <mergeCell ref="B38:B43"/>
    <mergeCell ref="D38:D43"/>
    <mergeCell ref="F38:F43"/>
    <mergeCell ref="H38:H43"/>
    <mergeCell ref="I38:I43"/>
    <mergeCell ref="B49:B54"/>
    <mergeCell ref="D49:D54"/>
    <mergeCell ref="F49:F54"/>
    <mergeCell ref="H49:H54"/>
    <mergeCell ref="I49:I54"/>
    <mergeCell ref="B60:B65"/>
    <mergeCell ref="D60:D65"/>
    <mergeCell ref="F60:F65"/>
    <mergeCell ref="H60:H65"/>
    <mergeCell ref="I60:I6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2026-06-05T19:14:42Z</dcterms:modified>
  <cp:revision>2</cp:revision>
  <dc:subject/>
  <dc:title/>
</cp:coreProperties>
</file>