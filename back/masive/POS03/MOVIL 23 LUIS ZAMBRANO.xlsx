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<sst xmlns="http://schemas.openxmlformats.org/spreadsheetml/2006/main" count="167" uniqueCount="41">
  <si>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</si>
  <si>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</si>
  <si>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</si>
  <si>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</si>
  <si>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</si>
  <si>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</si>
  <si>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</si>
  <si>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</si>
  <si>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A2175</t>
  </si>
  <si>
    <t>BOXER</t>
  </si>
  <si>
    <t>BAJA</t>
  </si>
  <si>
    <t>EXX-43H</t>
  </si>
  <si>
    <t>23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</si>
  <si>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</si>
  <si>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</si>
  <si>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</si>
  <si>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</si>
  <si>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</si>
  <si>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</si>
  <si>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</si>
  <si>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</si>
  <si>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</si>
  <si>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</si>
  <si>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</si>
  <si>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</si>
  <si>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</si>
  <si>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REFINANCIACION</t>
  </si>
  <si>
    <t>Traspaso de propiedad</t>
  </si>
  <si>
    <t>PRESTAMO.</t>
  </si>
  <si>
    <t>LUIS ALBERTO</t>
  </si>
  <si>
    <t>ZAMBRANO</t>
  </si>
  <si>
    <t>COLOMBIANO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</si>
  <si>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</si>
  <si>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</si>
  <si>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</si>
  <si>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</si>
  <si>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</si>
  <si>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</si>
  <si>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</si>
  <si>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</si>
  <si>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REFINANCIADA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</si>
</sst>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.00"/>
    <numFmt numFmtId="165" formatCode="[$ $]#,##0"/>
    <numFmt numFmtId="166" formatCode="&quot;$&quot;#,##0.00"/>
    <numFmt numFmtId="167" formatCode="dd/mm/yyyy"/>
    <numFmt numFmtId="168" formatCode="&quot;$&quot;#,##0"/>
  </numFmts>
  <fonts count="29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3.0"/>
      <color theme="1"/>
      <name val="Arial"/>
    </font>
    <font>
      <b/>
      <sz val="13.0"/>
      <color theme="1"/>
      <name val="Nunito"/>
    </font>
    <font>
      <b/>
      <sz val="13.0"/>
      <color rgb="FF333333"/>
      <name val="Helvetica Neue"/>
    </font>
    <font>
      <b/>
      <sz val="12.0"/>
      <color rgb="FFFFFFFF"/>
      <name val="Nunito"/>
    </font>
    <font>
      <b/>
      <sz val="12.0"/>
      <color theme="1"/>
      <name val="Arial"/>
    </font>
    <font>
      <b/>
      <sz val="11.0"/>
      <color rgb="FFFFFFFF"/>
      <name val="Arial"/>
    </font>
    <font>
      <b/>
      <sz val="12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sz val="12.0"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>
      <b/>
      <sz val="21.0"/>
      <color theme="1"/>
      <name val="Arial"/>
    </font>
    <font>
      <sz val="21.0"/>
      <color theme="1"/>
      <name val="Arial"/>
    </font>
    <font>
      <sz val="20.0"/>
      <color theme="1"/>
      <name val="Arial"/>
    </font>
    <font/>
    <font>
      <sz val="11.0"/>
      <color theme="1"/>
      <name val="Arial"/>
    </font>
    <font>
      <b/>
      <sz val="23.0"/>
      <color rgb="FFFFFFFF"/>
      <name val="Arial"/>
    </font>
    <font>
      <sz val="11.0"/>
      <color rgb="FFFFFFFF"/>
      <name val="Arial"/>
    </font>
    <font>
      <b/>
      <sz val="13.0"/>
      <color rgb="FFFFFFFF"/>
      <name val="Arial"/>
    </font>
    <font>
      <b/>
      <color rgb="FF46BDC6"/>
      <name val="Arial"/>
    </font>
    <font>
      <color theme="9"/>
      <name val="Arial"/>
    </font>
    <font>
      <b/>
      <sz val="14.0"/>
      <color theme="1"/>
      <name val="Arial"/>
    </font>
    <font>
      <color rgb="FF46BDC6"/>
      <name val="Arial"/>
    </font>
    <font>
      <sz val="12.0"/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999999"/>
        <bgColor rgb="FF999999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top style="thin">
        <color rgb="FF4285F4"/>
      </top>
    </border>
    <border>
      <bottom style="thin">
        <color rgb="FF4285F4"/>
      </bottom>
    </border>
    <border>
      <left style="thin">
        <color rgb="FF4285F4"/>
      </left>
      <bottom style="thin">
        <color rgb="FF4285F4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49" xfId="0" applyAlignment="1" applyFill="1" applyFont="1" applyNumberFormat="1">
      <alignment vertical="bottom"/>
    </xf>
    <xf borderId="0" fillId="0" fontId="2" numFmtId="0" xfId="0" applyAlignment="1" applyFont="1">
      <alignment vertical="bottom"/>
    </xf>
    <xf borderId="1" fillId="4" fontId="3" numFmtId="0" xfId="0" applyAlignment="1" applyBorder="1" applyFill="1" applyFont="1">
      <alignment readingOrder="0" vertical="bottom"/>
    </xf>
    <xf borderId="1" fillId="4" fontId="4" numFmtId="0" xfId="0" applyAlignment="1" applyBorder="1" applyFont="1">
      <alignment horizontal="center" vertical="bottom"/>
    </xf>
    <xf borderId="1" fillId="4" fontId="4" numFmtId="1" xfId="0" applyAlignment="1" applyBorder="1" applyFont="1" applyNumberFormat="1">
      <alignment horizontal="center" vertical="bottom"/>
    </xf>
    <xf borderId="0" fillId="4" fontId="5" numFmtId="0" xfId="0" applyAlignment="1" applyFont="1">
      <alignment horizontal="center" vertical="bottom"/>
    </xf>
    <xf borderId="1" fillId="4" fontId="3" numFmtId="49" xfId="0" applyAlignment="1" applyBorder="1" applyFont="1" applyNumberFormat="1">
      <alignment horizontal="center" readingOrder="0" vertical="bottom"/>
    </xf>
    <xf borderId="1" fillId="4" fontId="4" numFmtId="164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5" fontId="2" numFmtId="0" xfId="0" applyAlignment="1" applyFill="1" applyFont="1">
      <alignment vertical="bottom"/>
    </xf>
    <xf borderId="0" fillId="6" fontId="6" numFmtId="0" xfId="0" applyAlignment="1" applyFill="1" applyFont="1">
      <alignment horizontal="center" shrinkToFit="0" vertical="bottom" wrapText="1"/>
    </xf>
    <xf borderId="0" fillId="6" fontId="6" numFmtId="0" xfId="0" applyAlignment="1" applyFont="1">
      <alignment horizontal="center" vertical="bottom"/>
    </xf>
    <xf borderId="1" fillId="4" fontId="7" numFmtId="164" xfId="0" applyAlignment="1" applyBorder="1" applyFont="1" applyNumberFormat="1">
      <alignment horizontal="center" vertical="center"/>
    </xf>
    <xf borderId="1" fillId="4" fontId="7" numFmtId="164" xfId="0" applyAlignment="1" applyBorder="1" applyFont="1" applyNumberFormat="1">
      <alignment horizontal="center" vertical="bottom"/>
    </xf>
    <xf borderId="1" fillId="4" fontId="7" numFmtId="4" xfId="0" applyAlignment="1" applyBorder="1" applyFont="1" applyNumberFormat="1">
      <alignment horizontal="center" vertical="bottom"/>
    </xf>
    <xf borderId="1" fillId="4" fontId="7" numFmtId="1" xfId="0" applyAlignment="1" applyBorder="1" applyFont="1" applyNumberFormat="1">
      <alignment horizontal="center" readingOrder="0" vertical="bottom"/>
    </xf>
    <xf borderId="2" fillId="4" fontId="7" numFmtId="164" xfId="0" applyAlignment="1" applyBorder="1" applyFont="1" applyNumberFormat="1">
      <alignment horizontal="center" vertical="bottom"/>
    </xf>
    <xf borderId="2" fillId="7" fontId="7" numFmtId="164" xfId="0" applyAlignment="1" applyBorder="1" applyFill="1" applyFont="1" applyNumberFormat="1">
      <alignment horizontal="center" vertical="bottom"/>
    </xf>
    <xf borderId="3" fillId="4" fontId="7" numFmtId="164" xfId="0" applyAlignment="1" applyBorder="1" applyFont="1" applyNumberForma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9" fontId="9" numFmtId="0" xfId="0" applyAlignment="1" applyFill="1" applyFont="1">
      <alignment horizontal="center" readingOrder="0" shrinkToFit="0" vertical="bottom" wrapText="1"/>
    </xf>
    <xf borderId="0" fillId="9" fontId="10" numFmtId="0" xfId="0" applyAlignment="1" applyFont="1">
      <alignment horizontal="center" shrinkToFit="0" vertical="bottom" wrapText="1"/>
    </xf>
    <xf borderId="1" fillId="4" fontId="2" numFmtId="49" xfId="0" applyAlignment="1" applyBorder="1" applyFont="1" applyNumberFormat="1">
      <alignment vertical="bottom"/>
    </xf>
    <xf borderId="0" fillId="10" fontId="2" numFmtId="0" xfId="0" applyAlignment="1" applyFill="1" applyFont="1">
      <alignment horizontal="center" readingOrder="0" vertical="bottom"/>
    </xf>
    <xf borderId="0" fillId="10" fontId="11" numFmtId="0" xfId="0" applyAlignment="1" applyFont="1">
      <alignment horizontal="center" vertical="bottom"/>
    </xf>
    <xf borderId="0" fillId="10" fontId="12" numFmtId="0" xfId="0" applyAlignment="1" applyFont="1">
      <alignment horizontal="center" vertical="bottom"/>
    </xf>
    <xf borderId="0" fillId="3" fontId="2" numFmtId="166" xfId="0" applyAlignment="1" applyFont="1" applyNumberFormat="1">
      <alignment horizontal="center" readingOrder="0" vertical="bottom"/>
    </xf>
    <xf borderId="0" fillId="11" fontId="2" numFmtId="165" xfId="0" applyAlignment="1" applyFill="1" applyFont="1" applyNumberFormat="1">
      <alignment horizontal="center" readingOrder="0"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4" fillId="13" fontId="2" numFmtId="0" xfId="0" applyAlignment="1" applyBorder="1" applyFont="1">
      <alignment vertical="bottom"/>
    </xf>
    <xf borderId="0" fillId="14" fontId="8" numFmtId="165" xfId="0" applyAlignment="1" applyFill="1" applyFont="1" applyNumberFormat="1">
      <alignment horizontal="center" vertical="bottom"/>
    </xf>
    <xf borderId="5" fillId="13" fontId="13" numFmtId="0" xfId="0" applyAlignment="1" applyBorder="1" applyFont="1">
      <alignment horizontal="center" vertical="bottom"/>
    </xf>
    <xf borderId="0" fillId="6" fontId="14" numFmtId="0" xfId="0" applyAlignment="1" applyFont="1">
      <alignment horizontal="center" vertical="bottom"/>
    </xf>
    <xf borderId="0" fillId="6" fontId="15" numFmtId="0" xfId="0" applyAlignment="1" applyFont="1">
      <alignment horizontal="center" vertical="bottom"/>
    </xf>
    <xf borderId="0" fillId="13" fontId="16" numFmtId="165" xfId="0" applyAlignment="1" applyFont="1" applyNumberFormat="1">
      <alignment horizontal="center" vertical="center"/>
    </xf>
    <xf borderId="0" fillId="15" fontId="17" numFmtId="165" xfId="0" applyAlignment="1" applyFill="1" applyFont="1" applyNumberFormat="1">
      <alignment horizontal="center" vertical="center"/>
    </xf>
    <xf borderId="0" fillId="16" fontId="18" numFmtId="4" xfId="0" applyAlignment="1" applyFill="1" applyFont="1" applyNumberFormat="1">
      <alignment horizontal="center" vertical="bottom"/>
    </xf>
    <xf borderId="0" fillId="16" fontId="2" numFmtId="165" xfId="0" applyAlignment="1" applyFont="1" applyNumberFormat="1">
      <alignment vertical="bottom"/>
    </xf>
    <xf borderId="0" fillId="13" fontId="16" numFmtId="0" xfId="0" applyAlignment="1" applyFont="1">
      <alignment horizontal="center" vertical="bottom"/>
    </xf>
    <xf borderId="6" fillId="0" fontId="19" numFmtId="0" xfId="0" applyBorder="1" applyFont="1"/>
    <xf borderId="0" fillId="17" fontId="14" numFmtId="0" xfId="0" applyAlignment="1" applyFill="1" applyFont="1">
      <alignment vertical="bottom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18" fontId="14" numFmtId="0" xfId="0" applyAlignment="1" applyFill="1" applyFont="1">
      <alignment horizontal="center" vertical="bottom"/>
    </xf>
    <xf borderId="0" fillId="18" fontId="2" numFmtId="0" xfId="0" applyAlignment="1" applyFont="1">
      <alignment vertical="bottom"/>
    </xf>
    <xf borderId="0" fillId="5" fontId="2" numFmtId="167" xfId="0" applyAlignment="1" applyFont="1" applyNumberFormat="1">
      <alignment vertical="bottom"/>
    </xf>
    <xf borderId="0" fillId="5" fontId="2" numFmtId="165" xfId="0" applyAlignment="1" applyFont="1" applyNumberFormat="1">
      <alignment vertical="bottom"/>
    </xf>
    <xf borderId="0" fillId="19" fontId="20" numFmtId="167" xfId="0" applyAlignment="1" applyFill="1" applyFont="1" applyNumberFormat="1">
      <alignment horizontal="center" vertical="bottom"/>
    </xf>
    <xf borderId="0" fillId="3" fontId="20" numFmtId="165" xfId="0" applyAlignment="1" applyFont="1" applyNumberFormat="1">
      <alignment horizontal="center" vertical="bottom"/>
    </xf>
    <xf borderId="0" fillId="13" fontId="21" numFmtId="165" xfId="0" applyAlignment="1" applyFont="1" applyNumberFormat="1">
      <alignment horizontal="center" vertical="bottom"/>
    </xf>
    <xf borderId="0" fillId="3" fontId="2" numFmtId="165" xfId="0" applyAlignment="1" applyFont="1" applyNumberFormat="1">
      <alignment vertical="bottom"/>
    </xf>
    <xf borderId="0" fillId="5" fontId="20" numFmtId="167" xfId="0" applyAlignment="1" applyFont="1" applyNumberFormat="1">
      <alignment horizontal="center" vertical="bottom"/>
    </xf>
    <xf borderId="0" fillId="5" fontId="20" numFmtId="165" xfId="0" applyAlignment="1" applyFont="1" applyNumberFormat="1">
      <alignment horizontal="center" vertical="bottom"/>
    </xf>
    <xf borderId="0" fillId="19" fontId="20" numFmtId="167" xfId="0" applyAlignment="1" applyFont="1" applyNumberFormat="1">
      <alignment horizontal="center" readingOrder="0" vertical="bottom"/>
    </xf>
    <xf borderId="0" fillId="5" fontId="22" numFmtId="165" xfId="0" applyAlignment="1" applyFont="1" applyNumberFormat="1">
      <alignment horizontal="center" vertical="bottom"/>
    </xf>
    <xf borderId="0" fillId="5" fontId="23" numFmtId="0" xfId="0" applyAlignment="1" applyFont="1">
      <alignment horizontal="center" vertical="bottom"/>
    </xf>
    <xf borderId="0" fillId="13" fontId="2" numFmtId="0" xfId="0" applyAlignment="1" applyFont="1">
      <alignment horizontal="center" vertical="bottom"/>
    </xf>
    <xf borderId="0" fillId="11" fontId="2" numFmtId="0" xfId="0" applyAlignment="1" applyFont="1">
      <alignment vertical="bottom"/>
    </xf>
    <xf borderId="0" fillId="13" fontId="24" numFmtId="0" xfId="0" applyAlignment="1" applyFont="1">
      <alignment horizontal="center" readingOrder="0" vertical="bottom"/>
    </xf>
    <xf borderId="0" fillId="5" fontId="23" numFmtId="0" xfId="0" applyAlignment="1" applyFont="1">
      <alignment horizontal="center" readingOrder="0" vertical="bottom"/>
    </xf>
    <xf borderId="0" fillId="13" fontId="24" numFmtId="0" xfId="0" applyAlignment="1" applyFont="1">
      <alignment horizontal="center" vertical="bottom"/>
    </xf>
    <xf borderId="0" fillId="20" fontId="21" numFmtId="165" xfId="0" applyAlignment="1" applyFill="1" applyFont="1" applyNumberFormat="1">
      <alignment horizontal="center" vertical="center"/>
    </xf>
    <xf borderId="0" fillId="5" fontId="15" numFmtId="165" xfId="0" applyAlignment="1" applyFont="1" applyNumberFormat="1">
      <alignment horizontal="center" vertical="bottom"/>
    </xf>
    <xf borderId="0" fillId="5" fontId="15" numFmtId="165" xfId="0" applyAlignment="1" applyFont="1" applyNumberFormat="1">
      <alignment horizontal="center" vertical="center"/>
    </xf>
    <xf borderId="0" fillId="13" fontId="25" numFmtId="0" xfId="0" applyAlignment="1" applyFont="1">
      <alignment readingOrder="0" vertical="bottom"/>
    </xf>
    <xf borderId="0" fillId="0" fontId="2" numFmtId="168" xfId="0" applyAlignment="1" applyFont="1" applyNumberFormat="1">
      <alignment horizontal="center" vertical="bottom"/>
    </xf>
    <xf borderId="0" fillId="13" fontId="21" numFmtId="165" xfId="0" applyAlignment="1" applyFont="1" applyNumberFormat="1">
      <alignment horizontal="center" vertical="center"/>
    </xf>
    <xf borderId="0" fillId="0" fontId="2" numFmtId="4" xfId="0" applyAlignment="1" applyFont="1" applyNumberFormat="1">
      <alignment vertical="bottom"/>
    </xf>
    <xf borderId="0" fillId="21" fontId="2" numFmtId="0" xfId="0" applyAlignment="1" applyFill="1" applyFont="1">
      <alignment vertical="bottom"/>
    </xf>
    <xf borderId="0" fillId="21" fontId="2" numFmtId="165" xfId="0" applyAlignment="1" applyFont="1" applyNumberFormat="1">
      <alignment vertical="bottom"/>
    </xf>
    <xf borderId="0" fillId="19" fontId="2" numFmtId="167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22" fontId="2" numFmtId="167" xfId="0" applyAlignment="1" applyFill="1" applyFont="1" applyNumberFormat="1">
      <alignment horizontal="center" vertical="bottom"/>
    </xf>
    <xf borderId="0" fillId="0" fontId="2" numFmtId="166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0" fillId="5" fontId="15" numFmtId="166" xfId="0" applyAlignment="1" applyFont="1" applyNumberFormat="1">
      <alignment horizontal="center" vertical="bottom"/>
    </xf>
    <xf borderId="0" fillId="5" fontId="15" numFmtId="166" xfId="0" applyAlignment="1" applyFont="1" applyNumberFormat="1">
      <alignment horizontal="right" vertical="bottom"/>
    </xf>
    <xf borderId="0" fillId="3" fontId="2" numFmtId="166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5" fontId="2" numFmtId="165" xfId="0" applyAlignment="1" applyFont="1" applyNumberFormat="1">
      <alignment vertical="bottom"/>
    </xf>
    <xf borderId="0" fillId="21" fontId="2" numFmtId="165" xfId="0" applyAlignment="1" applyFont="1" applyNumberFormat="1">
      <alignment horizontal="center" vertical="bottom"/>
    </xf>
    <xf borderId="0" fillId="21" fontId="2" numFmtId="0" xfId="0" applyAlignment="1" applyFont="1">
      <alignment horizontal="center" vertical="bottom"/>
    </xf>
    <xf borderId="0" fillId="4" fontId="26" numFmtId="0" xfId="0" applyAlignment="1" applyFont="1">
      <alignment horizontal="center" textRotation="45" vertical="center"/>
    </xf>
    <xf borderId="0" fillId="13" fontId="27" numFmtId="0" xfId="0" applyAlignment="1" applyFont="1">
      <alignment readingOrder="0" vertical="bottom"/>
    </xf>
    <xf borderId="0" fillId="19" fontId="2" numFmtId="167" xfId="0" applyAlignment="1" applyFont="1" applyNumberFormat="1">
      <alignment horizontal="center" readingOrder="0" vertical="bottom"/>
    </xf>
    <xf borderId="0" fillId="7" fontId="2" numFmtId="0" xfId="0" applyAlignment="1" applyFont="1">
      <alignment vertical="bottom"/>
    </xf>
    <xf borderId="0" fillId="5" fontId="15" numFmtId="165" xfId="0" applyAlignment="1" applyFont="1" applyNumberFormat="1">
      <alignment horizontal="center" vertical="bottom"/>
    </xf>
    <xf borderId="0" fillId="5" fontId="28" numFmtId="0" xfId="0" applyAlignment="1" applyFont="1">
      <alignment horizontal="center" readingOrder="0" vertical="bottom"/>
    </xf>
    <xf borderId="0" fillId="23" fontId="12" numFmtId="166" xfId="0" applyAlignment="1" applyFill="1" applyFont="1" applyNumberFormat="1">
      <alignment horizontal="center" vertical="bottom"/>
    </xf>
    <xf borderId="0" fillId="0" fontId="7" numFmtId="166" xfId="0" applyAlignment="1" applyFont="1" applyNumberFormat="1">
      <alignment horizontal="center" readingOrder="0" vertical="bottom"/>
    </xf>
    <xf borderId="0" fillId="2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1504950</xdr:colOff>
      <xdr:row>0</xdr:row>
      <xdr:rowOff>0</xdr:rowOff>
    </xdr:from>
    <xdr:ext cx="2124075" cy="2676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18.25"/>
    <col customWidth="1" min="2" max="2" width="23.75"/>
    <col customWidth="1" min="3" max="3" width="21.75"/>
    <col customWidth="1" min="4" max="4" width="21.13"/>
    <col customWidth="1" min="5" max="5" width="20.25"/>
    <col customWidth="1" min="6" max="6" width="22.38"/>
    <col customWidth="1" min="7" max="7" width="20.25"/>
    <col customWidth="1" min="8" max="8" width="19.88"/>
    <col customWidth="1" min="9" max="9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2026.0</v>
      </c>
      <c r="D2" s="5" t="s">
        <v>10</v>
      </c>
      <c r="E2" s="7" t="s">
        <v>11</v>
      </c>
      <c r="F2" s="8" t="s">
        <v>12</v>
      </c>
      <c r="G2" s="9">
        <v>6800000.0</v>
      </c>
      <c r="H2" s="9">
        <v>800000.0</v>
      </c>
      <c r="I2" s="1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6000000</v>
      </c>
      <c r="B5" s="15">
        <f>A5*1.7</f>
        <v>10200000</v>
      </c>
      <c r="C5" s="16">
        <f>A5+B5</f>
        <v>16200000</v>
      </c>
      <c r="D5" s="17">
        <v>24.0</v>
      </c>
      <c r="E5" s="18">
        <f>C5/D5</f>
        <v>675000</v>
      </c>
      <c r="F5" s="18">
        <f t="shared" ref="F5:G5" si="1">E5/2</f>
        <v>337500</v>
      </c>
      <c r="G5" s="19">
        <f t="shared" si="1"/>
        <v>168750</v>
      </c>
      <c r="H5" s="20">
        <f>G5/6</f>
        <v>28125</v>
      </c>
      <c r="I5" s="1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">
        <v>21</v>
      </c>
      <c r="B6" s="21" t="s">
        <v>22</v>
      </c>
      <c r="C6" s="21" t="s">
        <v>23</v>
      </c>
      <c r="D6" s="21" t="s">
        <v>24</v>
      </c>
      <c r="E6" s="21" t="s">
        <v>25</v>
      </c>
      <c r="F6" s="22" t="s">
        <v>26</v>
      </c>
      <c r="G6" s="23" t="s">
        <v>27</v>
      </c>
      <c r="H6" s="23" t="s">
        <v>28</v>
      </c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" t="s">
        <v>29</v>
      </c>
      <c r="B7" s="25" t="s">
        <v>30</v>
      </c>
      <c r="C7" s="26">
        <v>1.052740229E9</v>
      </c>
      <c r="D7" s="25" t="s">
        <v>31</v>
      </c>
      <c r="E7" s="27">
        <v>3.003036933E9</v>
      </c>
      <c r="F7" s="28">
        <v>184800.0</v>
      </c>
      <c r="G7" s="29">
        <v>280000.0</v>
      </c>
      <c r="H7" s="30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1"/>
      <c r="B8" s="31"/>
      <c r="C8" s="31"/>
      <c r="D8" s="31"/>
      <c r="E8" s="32"/>
      <c r="F8" s="33"/>
      <c r="G8" s="33">
        <v>280000.0</v>
      </c>
      <c r="H8" s="34" t="s">
        <v>16</v>
      </c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5" t="s">
        <v>32</v>
      </c>
      <c r="C9" s="36" t="s">
        <v>33</v>
      </c>
      <c r="E9" s="36" t="s">
        <v>34</v>
      </c>
      <c r="G9" s="36" t="s">
        <v>35</v>
      </c>
      <c r="I9" s="1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7">
        <f>I16+I26+I36+I46+I56+I66+I77+I87+I97+I107+I117+I127+I137+I147+I157+I166+I175+I184+I193</f>
        <v>12117000</v>
      </c>
      <c r="C10" s="38">
        <f>C5-A10</f>
        <v>4083000</v>
      </c>
      <c r="E10" s="39">
        <f>C10+F7</f>
        <v>4267800</v>
      </c>
      <c r="G10" s="40"/>
      <c r="H10" s="41">
        <f>I23+I33+I43+I53+I63+I74+I94+I104+I114+I124+I134+I144+I154+I85+I164+I173+I182+I191</f>
        <v>18</v>
      </c>
      <c r="I10" s="1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2"/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3" t="s">
        <v>36</v>
      </c>
      <c r="E12" s="44"/>
      <c r="F12" s="45"/>
      <c r="G12" s="45"/>
      <c r="H12" s="3"/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6" t="s">
        <v>37</v>
      </c>
      <c r="B15" s="46" t="s">
        <v>38</v>
      </c>
      <c r="C15" s="46" t="s">
        <v>37</v>
      </c>
      <c r="D15" s="46" t="s">
        <v>38</v>
      </c>
      <c r="E15" s="46" t="s">
        <v>37</v>
      </c>
      <c r="F15" s="46" t="s">
        <v>38</v>
      </c>
      <c r="G15" s="46" t="s">
        <v>37</v>
      </c>
      <c r="H15" s="46" t="s">
        <v>38</v>
      </c>
      <c r="I15" s="4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8"/>
      <c r="B16" s="49"/>
      <c r="C16" s="50">
        <v>45691.0</v>
      </c>
      <c r="D16" s="51">
        <v>28000.0</v>
      </c>
      <c r="E16" s="50">
        <v>45698.0</v>
      </c>
      <c r="F16" s="51">
        <v>168000.0</v>
      </c>
      <c r="G16" s="50">
        <v>45705.0</v>
      </c>
      <c r="H16" s="51">
        <v>168000.0</v>
      </c>
      <c r="I16" s="52">
        <f>B22+D22+F22+H22</f>
        <v>525000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8"/>
      <c r="B17" s="49"/>
      <c r="C17" s="50">
        <v>45692.0</v>
      </c>
      <c r="D17" s="51">
        <v>28000.0</v>
      </c>
      <c r="E17" s="50">
        <v>45699.0</v>
      </c>
      <c r="F17" s="53"/>
      <c r="G17" s="50">
        <v>45706.0</v>
      </c>
      <c r="H17" s="5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8"/>
      <c r="B18" s="49"/>
      <c r="C18" s="50">
        <v>45693.0</v>
      </c>
      <c r="D18" s="51">
        <v>28000.0</v>
      </c>
      <c r="E18" s="50">
        <v>45700.0</v>
      </c>
      <c r="F18" s="53"/>
      <c r="G18" s="50">
        <v>45707.0</v>
      </c>
      <c r="H18" s="5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4"/>
      <c r="B19" s="55"/>
      <c r="C19" s="50">
        <v>45694.0</v>
      </c>
      <c r="D19" s="51">
        <v>20000.0</v>
      </c>
      <c r="E19" s="50">
        <v>45701.0</v>
      </c>
      <c r="F19" s="53"/>
      <c r="G19" s="50">
        <v>45708.0</v>
      </c>
      <c r="H19" s="5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4"/>
      <c r="B20" s="55"/>
      <c r="C20" s="50">
        <v>45695.0</v>
      </c>
      <c r="D20" s="51">
        <v>28000.0</v>
      </c>
      <c r="E20" s="50">
        <v>45702.0</v>
      </c>
      <c r="F20" s="53"/>
      <c r="G20" s="50">
        <v>45709.0</v>
      </c>
      <c r="H20" s="5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6">
        <v>45689.0</v>
      </c>
      <c r="B21" s="51">
        <v>29000.0</v>
      </c>
      <c r="C21" s="50">
        <v>45696.0</v>
      </c>
      <c r="D21" s="51">
        <v>28000.0</v>
      </c>
      <c r="E21" s="50">
        <v>45703.0</v>
      </c>
      <c r="F21" s="53"/>
      <c r="G21" s="50">
        <v>45710.0</v>
      </c>
      <c r="H21" s="5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57">
        <f>SUM(B16:B21)</f>
        <v>29000</v>
      </c>
      <c r="C22" s="49"/>
      <c r="D22" s="57">
        <f>SUM(D16:D21)</f>
        <v>160000</v>
      </c>
      <c r="E22" s="49"/>
      <c r="F22" s="57">
        <f>SUM(F16:F21)</f>
        <v>168000</v>
      </c>
      <c r="G22" s="49"/>
      <c r="H22" s="57">
        <f>SUM(H16:H21)</f>
        <v>168000</v>
      </c>
      <c r="I22" s="58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9" t="s">
        <v>39</v>
      </c>
      <c r="B23" s="60"/>
      <c r="C23" s="59" t="s">
        <v>39</v>
      </c>
      <c r="D23" s="60"/>
      <c r="E23" s="59" t="s">
        <v>39</v>
      </c>
      <c r="F23" s="60"/>
      <c r="G23" s="59" t="s">
        <v>39</v>
      </c>
      <c r="H23" s="60"/>
      <c r="I23" s="61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6" t="s">
        <v>37</v>
      </c>
      <c r="B25" s="46" t="s">
        <v>38</v>
      </c>
      <c r="C25" s="46" t="s">
        <v>37</v>
      </c>
      <c r="D25" s="46" t="s">
        <v>38</v>
      </c>
      <c r="E25" s="46" t="s">
        <v>37</v>
      </c>
      <c r="F25" s="46" t="s">
        <v>38</v>
      </c>
      <c r="G25" s="46" t="s">
        <v>37</v>
      </c>
      <c r="H25" s="46" t="s">
        <v>38</v>
      </c>
      <c r="I25" s="4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0">
        <v>45712.0</v>
      </c>
      <c r="B26" s="51">
        <v>168000.0</v>
      </c>
      <c r="C26" s="50">
        <v>45719.0</v>
      </c>
      <c r="D26" s="51">
        <v>168000.0</v>
      </c>
      <c r="E26" s="50">
        <v>45726.0</v>
      </c>
      <c r="F26" s="51">
        <v>168000.0</v>
      </c>
      <c r="G26" s="50">
        <v>45733.0</v>
      </c>
      <c r="H26" s="51">
        <v>168000.0</v>
      </c>
      <c r="I26" s="52">
        <f>B32+D32+F32+H32</f>
        <v>672000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0">
        <v>45713.0</v>
      </c>
      <c r="B27" s="53"/>
      <c r="C27" s="50">
        <v>45720.0</v>
      </c>
      <c r="D27" s="53"/>
      <c r="E27" s="50">
        <v>45727.0</v>
      </c>
      <c r="F27" s="53"/>
      <c r="G27" s="50">
        <v>45734.0</v>
      </c>
      <c r="H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0">
        <v>45714.0</v>
      </c>
      <c r="B28" s="53"/>
      <c r="C28" s="50">
        <v>45721.0</v>
      </c>
      <c r="D28" s="53"/>
      <c r="E28" s="50">
        <v>45728.0</v>
      </c>
      <c r="F28" s="53"/>
      <c r="G28" s="50">
        <v>45735.0</v>
      </c>
      <c r="H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0">
        <v>45715.0</v>
      </c>
      <c r="B29" s="53"/>
      <c r="C29" s="50">
        <v>45722.0</v>
      </c>
      <c r="D29" s="53"/>
      <c r="E29" s="50">
        <v>45729.0</v>
      </c>
      <c r="F29" s="53"/>
      <c r="G29" s="50">
        <v>45736.0</v>
      </c>
      <c r="H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0">
        <v>45716.0</v>
      </c>
      <c r="B30" s="53"/>
      <c r="C30" s="50">
        <v>45723.0</v>
      </c>
      <c r="D30" s="53"/>
      <c r="E30" s="50">
        <v>45730.0</v>
      </c>
      <c r="F30" s="53"/>
      <c r="G30" s="50">
        <v>45737.0</v>
      </c>
      <c r="H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0">
        <v>45717.0</v>
      </c>
      <c r="B31" s="53"/>
      <c r="C31" s="50">
        <v>45724.0</v>
      </c>
      <c r="D31" s="53"/>
      <c r="E31" s="50">
        <v>45731.0</v>
      </c>
      <c r="F31" s="53"/>
      <c r="G31" s="50">
        <v>45738.0</v>
      </c>
      <c r="H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57">
        <f>SUM(B26:B31)</f>
        <v>168000</v>
      </c>
      <c r="C32" s="49"/>
      <c r="D32" s="57">
        <f>SUM(D26:D31)</f>
        <v>168000</v>
      </c>
      <c r="E32" s="49"/>
      <c r="F32" s="57">
        <f>SUM(F26:F31)</f>
        <v>168000</v>
      </c>
      <c r="G32" s="49"/>
      <c r="H32" s="57">
        <f>SUM(H26:H31)</f>
        <v>168000</v>
      </c>
      <c r="I32" s="62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9" t="s">
        <v>39</v>
      </c>
      <c r="B33" s="60"/>
      <c r="C33" s="59" t="s">
        <v>39</v>
      </c>
      <c r="D33" s="60"/>
      <c r="E33" s="59" t="s">
        <v>39</v>
      </c>
      <c r="F33" s="60"/>
      <c r="G33" s="59" t="s">
        <v>39</v>
      </c>
      <c r="H33" s="60"/>
      <c r="I33" s="63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6" t="s">
        <v>37</v>
      </c>
      <c r="B35" s="46" t="s">
        <v>38</v>
      </c>
      <c r="C35" s="46" t="s">
        <v>37</v>
      </c>
      <c r="D35" s="46" t="s">
        <v>38</v>
      </c>
      <c r="E35" s="46" t="s">
        <v>37</v>
      </c>
      <c r="F35" s="46" t="s">
        <v>38</v>
      </c>
      <c r="G35" s="46" t="s">
        <v>37</v>
      </c>
      <c r="H35" s="46" t="s">
        <v>38</v>
      </c>
      <c r="I35" s="4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0">
        <v>45740.0</v>
      </c>
      <c r="B36" s="51">
        <v>168000.0</v>
      </c>
      <c r="C36" s="50">
        <v>45747.0</v>
      </c>
      <c r="D36" s="51">
        <v>168000.0</v>
      </c>
      <c r="E36" s="50">
        <v>45754.0</v>
      </c>
      <c r="F36" s="51">
        <v>168000.0</v>
      </c>
      <c r="G36" s="50">
        <v>45761.0</v>
      </c>
      <c r="H36" s="51">
        <v>168000.0</v>
      </c>
      <c r="I36" s="64">
        <f>B42+D42+F42+H42</f>
        <v>672000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0">
        <v>45741.0</v>
      </c>
      <c r="B37" s="53"/>
      <c r="C37" s="50">
        <v>45748.0</v>
      </c>
      <c r="D37" s="53"/>
      <c r="E37" s="50">
        <v>45755.0</v>
      </c>
      <c r="F37" s="53"/>
      <c r="G37" s="50">
        <v>45762.0</v>
      </c>
      <c r="H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0">
        <v>45742.0</v>
      </c>
      <c r="B38" s="53"/>
      <c r="C38" s="50">
        <v>45749.0</v>
      </c>
      <c r="D38" s="53"/>
      <c r="E38" s="50">
        <v>45756.0</v>
      </c>
      <c r="F38" s="53"/>
      <c r="G38" s="50">
        <v>45763.0</v>
      </c>
      <c r="H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0">
        <v>45743.0</v>
      </c>
      <c r="B39" s="53"/>
      <c r="C39" s="50">
        <v>45750.0</v>
      </c>
      <c r="D39" s="53"/>
      <c r="E39" s="50">
        <v>45757.0</v>
      </c>
      <c r="F39" s="53"/>
      <c r="G39" s="50">
        <v>45764.0</v>
      </c>
      <c r="H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0">
        <v>45744.0</v>
      </c>
      <c r="B40" s="53"/>
      <c r="C40" s="50">
        <v>45751.0</v>
      </c>
      <c r="D40" s="53"/>
      <c r="E40" s="50">
        <v>45758.0</v>
      </c>
      <c r="F40" s="53"/>
      <c r="G40" s="50">
        <v>45765.0</v>
      </c>
      <c r="H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0">
        <v>45745.0</v>
      </c>
      <c r="B41" s="53"/>
      <c r="C41" s="50">
        <v>45752.0</v>
      </c>
      <c r="D41" s="53"/>
      <c r="E41" s="50">
        <v>45759.0</v>
      </c>
      <c r="F41" s="53"/>
      <c r="G41" s="50">
        <v>45766.0</v>
      </c>
      <c r="H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/>
      <c r="B42" s="57">
        <f>SUM(B36:B41)</f>
        <v>168000</v>
      </c>
      <c r="C42" s="49"/>
      <c r="D42" s="57">
        <f>SUM(D36:D41)</f>
        <v>168000</v>
      </c>
      <c r="E42" s="49"/>
      <c r="F42" s="65">
        <f>F36</f>
        <v>168000</v>
      </c>
      <c r="G42" s="49"/>
      <c r="H42" s="66">
        <f>H36</f>
        <v>168000</v>
      </c>
      <c r="I42" s="62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1"/>
      <c r="B43" s="60"/>
      <c r="C43" s="31"/>
      <c r="D43" s="60"/>
      <c r="E43" s="31"/>
      <c r="F43" s="60"/>
      <c r="G43" s="31"/>
      <c r="H43" s="60"/>
      <c r="I43" s="67">
        <v>1.0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6" t="s">
        <v>37</v>
      </c>
      <c r="B45" s="46" t="s">
        <v>38</v>
      </c>
      <c r="C45" s="46" t="s">
        <v>37</v>
      </c>
      <c r="D45" s="46" t="s">
        <v>38</v>
      </c>
      <c r="E45" s="46" t="s">
        <v>37</v>
      </c>
      <c r="F45" s="46" t="s">
        <v>38</v>
      </c>
      <c r="G45" s="46" t="s">
        <v>37</v>
      </c>
      <c r="H45" s="46" t="s">
        <v>38</v>
      </c>
      <c r="I45" s="4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0">
        <v>45761.0</v>
      </c>
      <c r="B46" s="51">
        <v>168000.0</v>
      </c>
      <c r="C46" s="50">
        <v>45768.0</v>
      </c>
      <c r="D46" s="51">
        <v>168000.0</v>
      </c>
      <c r="E46" s="50">
        <v>45775.0</v>
      </c>
      <c r="F46" s="51">
        <v>168000.0</v>
      </c>
      <c r="G46" s="50">
        <v>45782.0</v>
      </c>
      <c r="H46" s="68">
        <v>168000.0</v>
      </c>
      <c r="I46" s="69">
        <f>B52+D52+F52+H52</f>
        <v>672000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0">
        <v>45762.0</v>
      </c>
      <c r="B47" s="53"/>
      <c r="C47" s="50">
        <v>45769.0</v>
      </c>
      <c r="D47" s="70"/>
      <c r="E47" s="50">
        <v>45776.0</v>
      </c>
      <c r="F47" s="70"/>
      <c r="G47" s="50">
        <v>45783.0</v>
      </c>
      <c r="H47" s="7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0">
        <v>45763.0</v>
      </c>
      <c r="B48" s="53"/>
      <c r="C48" s="50">
        <v>45770.0</v>
      </c>
      <c r="D48" s="70"/>
      <c r="E48" s="50">
        <v>45777.0</v>
      </c>
      <c r="F48" s="70"/>
      <c r="G48" s="50">
        <v>45784.0</v>
      </c>
      <c r="H48" s="7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0">
        <v>45764.0</v>
      </c>
      <c r="B49" s="53"/>
      <c r="C49" s="50">
        <v>45771.0</v>
      </c>
      <c r="D49" s="70"/>
      <c r="E49" s="50">
        <v>45778.0</v>
      </c>
      <c r="F49" s="70"/>
      <c r="G49" s="50">
        <v>45785.0</v>
      </c>
      <c r="H49" s="70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0">
        <v>45765.0</v>
      </c>
      <c r="B50" s="53"/>
      <c r="C50" s="50">
        <v>45772.0</v>
      </c>
      <c r="D50" s="70"/>
      <c r="E50" s="50">
        <v>45779.0</v>
      </c>
      <c r="F50" s="70"/>
      <c r="G50" s="50">
        <v>45786.0</v>
      </c>
      <c r="H50" s="7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0">
        <v>45766.0</v>
      </c>
      <c r="B51" s="53"/>
      <c r="C51" s="50">
        <v>45773.0</v>
      </c>
      <c r="D51" s="70"/>
      <c r="E51" s="50">
        <v>45780.0</v>
      </c>
      <c r="F51" s="70"/>
      <c r="G51" s="50">
        <v>45787.0</v>
      </c>
      <c r="H51" s="70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/>
      <c r="B52" s="57">
        <f>SUM(B46:B51)</f>
        <v>168000</v>
      </c>
      <c r="C52" s="49"/>
      <c r="D52" s="57">
        <f>SUM(D46:D51)</f>
        <v>168000</v>
      </c>
      <c r="E52" s="49"/>
      <c r="F52" s="57">
        <f>F46</f>
        <v>168000</v>
      </c>
      <c r="G52" s="49"/>
      <c r="H52" s="57">
        <f>H46</f>
        <v>168000</v>
      </c>
      <c r="I52" s="62">
        <v>4.0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1"/>
      <c r="B53" s="60"/>
      <c r="C53" s="31"/>
      <c r="D53" s="60"/>
      <c r="E53" s="31"/>
      <c r="F53" s="60"/>
      <c r="G53" s="31"/>
      <c r="H53" s="60"/>
      <c r="I53" s="67">
        <v>1.0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6" t="s">
        <v>37</v>
      </c>
      <c r="B55" s="46" t="s">
        <v>38</v>
      </c>
      <c r="C55" s="46" t="s">
        <v>37</v>
      </c>
      <c r="D55" s="46" t="s">
        <v>38</v>
      </c>
      <c r="E55" s="46" t="s">
        <v>37</v>
      </c>
      <c r="F55" s="46" t="s">
        <v>38</v>
      </c>
      <c r="G55" s="46" t="s">
        <v>37</v>
      </c>
      <c r="H55" s="46" t="s">
        <v>38</v>
      </c>
      <c r="I55" s="4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0">
        <v>45789.0</v>
      </c>
      <c r="B56" s="51">
        <v>168000.0</v>
      </c>
      <c r="C56" s="50">
        <v>45796.0</v>
      </c>
      <c r="D56" s="51">
        <v>168000.0</v>
      </c>
      <c r="E56" s="50">
        <v>45803.0</v>
      </c>
      <c r="F56" s="51">
        <v>168000.0</v>
      </c>
      <c r="G56" s="50">
        <v>45810.0</v>
      </c>
      <c r="H56" s="51">
        <v>168000.0</v>
      </c>
      <c r="I56" s="69">
        <f>B62+D62+F62+H62</f>
        <v>672000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0">
        <v>45790.0</v>
      </c>
      <c r="B57" s="53"/>
      <c r="C57" s="50">
        <v>45797.0</v>
      </c>
      <c r="D57" s="70"/>
      <c r="E57" s="50">
        <v>45804.0</v>
      </c>
      <c r="F57" s="70"/>
      <c r="G57" s="50">
        <v>45811.0</v>
      </c>
      <c r="H57" s="7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0">
        <v>45791.0</v>
      </c>
      <c r="B58" s="53"/>
      <c r="C58" s="50">
        <v>45798.0</v>
      </c>
      <c r="D58" s="70"/>
      <c r="E58" s="50">
        <v>45805.0</v>
      </c>
      <c r="F58" s="70"/>
      <c r="G58" s="50">
        <v>45812.0</v>
      </c>
      <c r="H58" s="7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0">
        <v>45792.0</v>
      </c>
      <c r="B59" s="53"/>
      <c r="C59" s="50">
        <v>45799.0</v>
      </c>
      <c r="D59" s="70"/>
      <c r="E59" s="50">
        <v>45806.0</v>
      </c>
      <c r="F59" s="70"/>
      <c r="G59" s="50">
        <v>45813.0</v>
      </c>
      <c r="H59" s="7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0">
        <v>45793.0</v>
      </c>
      <c r="B60" s="53"/>
      <c r="C60" s="50">
        <v>45800.0</v>
      </c>
      <c r="D60" s="70"/>
      <c r="E60" s="50">
        <v>45807.0</v>
      </c>
      <c r="F60" s="70"/>
      <c r="G60" s="50">
        <v>45814.0</v>
      </c>
      <c r="H60" s="7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0">
        <v>45794.0</v>
      </c>
      <c r="B61" s="53"/>
      <c r="C61" s="50">
        <v>45801.0</v>
      </c>
      <c r="D61" s="70"/>
      <c r="E61" s="50">
        <v>45808.0</v>
      </c>
      <c r="F61" s="70"/>
      <c r="G61" s="50">
        <v>45815.0</v>
      </c>
      <c r="H61" s="7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1"/>
      <c r="B62" s="57">
        <f>SUM(B56:B61)</f>
        <v>168000</v>
      </c>
      <c r="C62" s="49"/>
      <c r="D62" s="57">
        <f>SUM(D56:D61)</f>
        <v>168000</v>
      </c>
      <c r="E62" s="49"/>
      <c r="F62" s="57">
        <f>F56</f>
        <v>168000</v>
      </c>
      <c r="G62" s="49"/>
      <c r="H62" s="57">
        <f>H56</f>
        <v>168000</v>
      </c>
      <c r="I62" s="62">
        <v>5.0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1"/>
      <c r="B63" s="60"/>
      <c r="C63" s="31"/>
      <c r="D63" s="60"/>
      <c r="E63" s="31"/>
      <c r="F63" s="60"/>
      <c r="G63" s="31"/>
      <c r="H63" s="60"/>
      <c r="I63" s="67">
        <v>1.0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6" t="s">
        <v>37</v>
      </c>
      <c r="B65" s="46" t="s">
        <v>38</v>
      </c>
      <c r="C65" s="46" t="s">
        <v>37</v>
      </c>
      <c r="D65" s="46" t="s">
        <v>38</v>
      </c>
      <c r="E65" s="46" t="s">
        <v>37</v>
      </c>
      <c r="F65" s="46" t="s">
        <v>38</v>
      </c>
      <c r="G65" s="46" t="s">
        <v>37</v>
      </c>
      <c r="H65" s="46" t="s">
        <v>38</v>
      </c>
      <c r="I65" s="4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0">
        <v>45817.0</v>
      </c>
      <c r="B66" s="51">
        <v>168000.0</v>
      </c>
      <c r="C66" s="50">
        <v>45824.0</v>
      </c>
      <c r="D66" s="51">
        <v>168000.0</v>
      </c>
      <c r="E66" s="50">
        <v>45831.0</v>
      </c>
      <c r="F66" s="51">
        <v>168000.0</v>
      </c>
      <c r="G66" s="50">
        <v>45838.0</v>
      </c>
      <c r="H66" s="51">
        <v>168000.0</v>
      </c>
      <c r="I66" s="69">
        <f>B72+D72+F72+H72</f>
        <v>672000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0">
        <v>45818.0</v>
      </c>
      <c r="B67" s="70"/>
      <c r="C67" s="50">
        <v>45825.0</v>
      </c>
      <c r="D67" s="70"/>
      <c r="E67" s="50">
        <v>45832.0</v>
      </c>
      <c r="F67" s="70"/>
      <c r="G67" s="50">
        <v>45839.0</v>
      </c>
      <c r="H67" s="7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0">
        <v>45819.0</v>
      </c>
      <c r="B68" s="70"/>
      <c r="C68" s="50">
        <v>45826.0</v>
      </c>
      <c r="D68" s="70"/>
      <c r="E68" s="50">
        <v>45833.0</v>
      </c>
      <c r="F68" s="70"/>
      <c r="G68" s="50">
        <v>45840.0</v>
      </c>
      <c r="H68" s="7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0">
        <v>45820.0</v>
      </c>
      <c r="B69" s="70"/>
      <c r="C69" s="50">
        <v>45827.0</v>
      </c>
      <c r="D69" s="70"/>
      <c r="E69" s="50">
        <v>45834.0</v>
      </c>
      <c r="F69" s="70"/>
      <c r="G69" s="50">
        <v>45841.0</v>
      </c>
      <c r="H69" s="7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0">
        <v>45821.0</v>
      </c>
      <c r="B70" s="70"/>
      <c r="C70" s="50">
        <v>45828.0</v>
      </c>
      <c r="D70" s="70"/>
      <c r="E70" s="50">
        <v>45835.0</v>
      </c>
      <c r="F70" s="70"/>
      <c r="G70" s="50">
        <v>45842.0</v>
      </c>
      <c r="H70" s="7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0">
        <v>45822.0</v>
      </c>
      <c r="B71" s="70"/>
      <c r="C71" s="50">
        <v>45829.0</v>
      </c>
      <c r="D71" s="70"/>
      <c r="E71" s="50">
        <v>45836.0</v>
      </c>
      <c r="F71" s="70"/>
      <c r="G71" s="50">
        <v>45843.0</v>
      </c>
      <c r="H71" s="70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8"/>
      <c r="B72" s="57">
        <f>SUM(B66:B71)</f>
        <v>168000</v>
      </c>
      <c r="C72" s="49"/>
      <c r="D72" s="57">
        <f>SUM(D66:D71)</f>
        <v>168000</v>
      </c>
      <c r="E72" s="49"/>
      <c r="F72" s="57">
        <f>F66</f>
        <v>168000</v>
      </c>
      <c r="G72" s="49"/>
      <c r="H72" s="57">
        <f>H66</f>
        <v>168000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1"/>
      <c r="B73" s="72"/>
      <c r="C73" s="71"/>
      <c r="D73" s="72"/>
      <c r="E73" s="71"/>
      <c r="F73" s="72"/>
      <c r="G73" s="71"/>
      <c r="H73" s="72"/>
      <c r="I73" s="62">
        <v>6.0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1"/>
      <c r="B74" s="60"/>
      <c r="C74" s="31"/>
      <c r="D74" s="60"/>
      <c r="E74" s="31"/>
      <c r="F74" s="60"/>
      <c r="G74" s="31"/>
      <c r="H74" s="60"/>
      <c r="I74" s="67">
        <v>1.0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6" t="s">
        <v>37</v>
      </c>
      <c r="B76" s="46" t="s">
        <v>38</v>
      </c>
      <c r="C76" s="46" t="s">
        <v>37</v>
      </c>
      <c r="D76" s="46" t="s">
        <v>38</v>
      </c>
      <c r="E76" s="46" t="s">
        <v>37</v>
      </c>
      <c r="F76" s="46" t="s">
        <v>38</v>
      </c>
      <c r="G76" s="46" t="s">
        <v>37</v>
      </c>
      <c r="H76" s="46" t="s">
        <v>38</v>
      </c>
      <c r="I76" s="4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0">
        <v>45845.0</v>
      </c>
      <c r="B77" s="51">
        <v>168000.0</v>
      </c>
      <c r="C77" s="50">
        <v>45852.0</v>
      </c>
      <c r="D77" s="51">
        <v>168000.0</v>
      </c>
      <c r="E77" s="50">
        <v>45859.0</v>
      </c>
      <c r="F77" s="51">
        <v>168000.0</v>
      </c>
      <c r="G77" s="50">
        <v>45866.0</v>
      </c>
      <c r="H77" s="51">
        <v>168000.0</v>
      </c>
      <c r="I77" s="69">
        <f>B83+D83+F83+H83</f>
        <v>672000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0">
        <v>45846.0</v>
      </c>
      <c r="B78" s="70"/>
      <c r="C78" s="50">
        <v>45853.0</v>
      </c>
      <c r="D78" s="70"/>
      <c r="E78" s="50">
        <v>45860.0</v>
      </c>
      <c r="F78" s="70"/>
      <c r="G78" s="50">
        <v>45867.0</v>
      </c>
      <c r="H78" s="70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0">
        <v>45847.0</v>
      </c>
      <c r="B79" s="70"/>
      <c r="C79" s="50">
        <v>45854.0</v>
      </c>
      <c r="D79" s="70"/>
      <c r="E79" s="50">
        <v>45861.0</v>
      </c>
      <c r="F79" s="70"/>
      <c r="G79" s="50">
        <v>45868.0</v>
      </c>
      <c r="H79" s="70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0">
        <v>45848.0</v>
      </c>
      <c r="B80" s="70"/>
      <c r="C80" s="50">
        <v>45855.0</v>
      </c>
      <c r="D80" s="70"/>
      <c r="E80" s="50">
        <v>45862.0</v>
      </c>
      <c r="F80" s="70"/>
      <c r="G80" s="50">
        <v>45869.0</v>
      </c>
      <c r="H80" s="70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0">
        <v>45849.0</v>
      </c>
      <c r="B81" s="70"/>
      <c r="C81" s="50">
        <v>45856.0</v>
      </c>
      <c r="D81" s="70"/>
      <c r="E81" s="50">
        <v>45863.0</v>
      </c>
      <c r="F81" s="70"/>
      <c r="G81" s="50">
        <v>45870.0</v>
      </c>
      <c r="H81" s="70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0">
        <v>45850.0</v>
      </c>
      <c r="B82" s="70"/>
      <c r="C82" s="50">
        <v>45857.0</v>
      </c>
      <c r="D82" s="70"/>
      <c r="E82" s="50">
        <v>45864.0</v>
      </c>
      <c r="F82" s="70"/>
      <c r="G82" s="50">
        <v>45871.0</v>
      </c>
      <c r="H82" s="70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"/>
      <c r="B83" s="57">
        <f>SUM(B77:B82)</f>
        <v>168000</v>
      </c>
      <c r="C83" s="49"/>
      <c r="D83" s="57">
        <f>SUM(D77:D82)</f>
        <v>168000</v>
      </c>
      <c r="E83" s="49"/>
      <c r="F83" s="57">
        <f>F77</f>
        <v>168000</v>
      </c>
      <c r="G83" s="49"/>
      <c r="H83" s="57">
        <f>H77</f>
        <v>168000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1"/>
      <c r="B84" s="60"/>
      <c r="C84" s="31"/>
      <c r="D84" s="60"/>
      <c r="E84" s="31"/>
      <c r="F84" s="60"/>
      <c r="G84" s="31"/>
      <c r="H84" s="60"/>
      <c r="I84" s="62">
        <v>7.0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1"/>
      <c r="B85" s="11"/>
      <c r="C85" s="11"/>
      <c r="D85" s="11"/>
      <c r="E85" s="11"/>
      <c r="F85" s="11"/>
      <c r="G85" s="11"/>
      <c r="H85" s="11"/>
      <c r="I85" s="67">
        <v>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6" t="s">
        <v>37</v>
      </c>
      <c r="B86" s="46" t="s">
        <v>38</v>
      </c>
      <c r="C86" s="46" t="s">
        <v>37</v>
      </c>
      <c r="D86" s="46" t="s">
        <v>38</v>
      </c>
      <c r="E86" s="46" t="s">
        <v>37</v>
      </c>
      <c r="F86" s="46" t="s">
        <v>38</v>
      </c>
      <c r="G86" s="46" t="s">
        <v>37</v>
      </c>
      <c r="H86" s="46" t="s">
        <v>38</v>
      </c>
      <c r="I86" s="67">
        <v>1.0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0">
        <v>45873.0</v>
      </c>
      <c r="B87" s="51">
        <v>168000.0</v>
      </c>
      <c r="C87" s="50">
        <v>45880.0</v>
      </c>
      <c r="D87" s="51">
        <v>168000.0</v>
      </c>
      <c r="E87" s="50">
        <v>45887.0</v>
      </c>
      <c r="F87" s="51">
        <v>168000.0</v>
      </c>
      <c r="G87" s="50">
        <v>45894.0</v>
      </c>
      <c r="H87" s="51">
        <v>168000.0</v>
      </c>
      <c r="I87" s="69">
        <f>B93+D93+F93+H93</f>
        <v>672000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0">
        <v>45874.0</v>
      </c>
      <c r="B88" s="70"/>
      <c r="C88" s="50">
        <v>45881.0</v>
      </c>
      <c r="D88" s="70"/>
      <c r="E88" s="50">
        <v>45888.0</v>
      </c>
      <c r="F88" s="70"/>
      <c r="G88" s="50">
        <v>45895.0</v>
      </c>
      <c r="H88" s="70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0">
        <v>45875.0</v>
      </c>
      <c r="B89" s="70"/>
      <c r="C89" s="50">
        <v>45882.0</v>
      </c>
      <c r="D89" s="70"/>
      <c r="E89" s="50">
        <v>45889.0</v>
      </c>
      <c r="F89" s="70"/>
      <c r="G89" s="50">
        <v>45896.0</v>
      </c>
      <c r="H89" s="70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0">
        <v>45876.0</v>
      </c>
      <c r="B90" s="70"/>
      <c r="C90" s="50">
        <v>45883.0</v>
      </c>
      <c r="D90" s="70"/>
      <c r="E90" s="50">
        <v>45890.0</v>
      </c>
      <c r="F90" s="70"/>
      <c r="G90" s="50">
        <v>45897.0</v>
      </c>
      <c r="H90" s="7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0">
        <v>45877.0</v>
      </c>
      <c r="B91" s="70"/>
      <c r="C91" s="50">
        <v>45884.0</v>
      </c>
      <c r="D91" s="70"/>
      <c r="E91" s="50">
        <v>45891.0</v>
      </c>
      <c r="F91" s="70"/>
      <c r="G91" s="50">
        <v>45898.0</v>
      </c>
      <c r="H91" s="70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0">
        <v>45878.0</v>
      </c>
      <c r="B92" s="70"/>
      <c r="C92" s="50">
        <v>45885.0</v>
      </c>
      <c r="D92" s="70"/>
      <c r="E92" s="50">
        <v>45892.0</v>
      </c>
      <c r="F92" s="70"/>
      <c r="G92" s="50">
        <v>45899.0</v>
      </c>
      <c r="H92" s="70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1"/>
      <c r="B93" s="57">
        <f>SUM(B87:B92)</f>
        <v>168000</v>
      </c>
      <c r="C93" s="49"/>
      <c r="D93" s="57">
        <f>SUM(D87:D92)</f>
        <v>168000</v>
      </c>
      <c r="E93" s="49"/>
      <c r="F93" s="57">
        <f>SUM(F87:F92)</f>
        <v>168000</v>
      </c>
      <c r="G93" s="49"/>
      <c r="H93" s="57">
        <f>H87</f>
        <v>168000</v>
      </c>
      <c r="I93" s="62">
        <v>8.0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1"/>
      <c r="B94" s="60"/>
      <c r="C94" s="31"/>
      <c r="D94" s="60"/>
      <c r="E94" s="31"/>
      <c r="F94" s="60"/>
      <c r="G94" s="31"/>
      <c r="H94" s="60"/>
      <c r="I94" s="67">
        <v>1.0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6" t="s">
        <v>37</v>
      </c>
      <c r="B96" s="46" t="s">
        <v>38</v>
      </c>
      <c r="C96" s="46" t="s">
        <v>37</v>
      </c>
      <c r="D96" s="46" t="s">
        <v>38</v>
      </c>
      <c r="E96" s="46" t="s">
        <v>37</v>
      </c>
      <c r="F96" s="46" t="s">
        <v>38</v>
      </c>
      <c r="G96" s="46" t="s">
        <v>37</v>
      </c>
      <c r="H96" s="46" t="s">
        <v>38</v>
      </c>
      <c r="I96" s="4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3">
        <v>45901.0</v>
      </c>
      <c r="B97" s="74">
        <v>168000.0</v>
      </c>
      <c r="C97" s="73">
        <v>45908.0</v>
      </c>
      <c r="D97" s="74">
        <v>168000.0</v>
      </c>
      <c r="E97" s="75">
        <v>45915.0</v>
      </c>
      <c r="F97" s="76"/>
      <c r="G97" s="73">
        <v>45922.0</v>
      </c>
      <c r="H97" s="76"/>
      <c r="I97" s="69">
        <f>B103+D103+F103+H103</f>
        <v>672000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73">
        <v>45902.0</v>
      </c>
      <c r="B98" s="3"/>
      <c r="C98" s="73">
        <v>45909.0</v>
      </c>
      <c r="D98" s="3"/>
      <c r="E98" s="75">
        <v>45916.0</v>
      </c>
      <c r="F98" s="3"/>
      <c r="G98" s="73">
        <v>45923.0</v>
      </c>
      <c r="H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73">
        <v>45903.0</v>
      </c>
      <c r="B99" s="3"/>
      <c r="C99" s="73">
        <v>45910.0</v>
      </c>
      <c r="D99" s="3"/>
      <c r="E99" s="75">
        <v>45917.0</v>
      </c>
      <c r="F99" s="3"/>
      <c r="G99" s="73">
        <v>45924.0</v>
      </c>
      <c r="H99" s="77">
        <v>168000.0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3">
        <v>45904.0</v>
      </c>
      <c r="B100" s="3"/>
      <c r="C100" s="73">
        <v>45911.0</v>
      </c>
      <c r="D100" s="3"/>
      <c r="E100" s="75">
        <v>45918.0</v>
      </c>
      <c r="F100" s="74">
        <v>168000.0</v>
      </c>
      <c r="G100" s="73">
        <v>45925.0</v>
      </c>
      <c r="H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3">
        <v>45905.0</v>
      </c>
      <c r="B101" s="3"/>
      <c r="C101" s="73">
        <v>45912.0</v>
      </c>
      <c r="D101" s="3"/>
      <c r="E101" s="75">
        <v>45919.0</v>
      </c>
      <c r="F101" s="3"/>
      <c r="G101" s="73">
        <v>45926.0</v>
      </c>
      <c r="H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3">
        <v>45906.0</v>
      </c>
      <c r="B102" s="3"/>
      <c r="C102" s="73">
        <v>45913.0</v>
      </c>
      <c r="D102" s="3"/>
      <c r="E102" s="75">
        <v>45920.0</v>
      </c>
      <c r="F102" s="3"/>
      <c r="G102" s="73">
        <v>45927.0</v>
      </c>
      <c r="H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/>
      <c r="B103" s="78">
        <f>B97</f>
        <v>168000</v>
      </c>
      <c r="C103" s="11"/>
      <c r="D103" s="78">
        <f>D97</f>
        <v>168000</v>
      </c>
      <c r="E103" s="11"/>
      <c r="F103" s="78">
        <f>F100</f>
        <v>168000</v>
      </c>
      <c r="G103" s="11"/>
      <c r="H103" s="79">
        <f>H99</f>
        <v>168000</v>
      </c>
      <c r="I103" s="62">
        <v>9.0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1"/>
      <c r="B104" s="60"/>
      <c r="C104" s="31"/>
      <c r="D104" s="60"/>
      <c r="E104" s="31"/>
      <c r="F104" s="60"/>
      <c r="G104" s="31"/>
      <c r="H104" s="60"/>
      <c r="I104" s="67">
        <v>1.0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6" t="s">
        <v>37</v>
      </c>
      <c r="B106" s="46" t="s">
        <v>38</v>
      </c>
      <c r="C106" s="46" t="s">
        <v>37</v>
      </c>
      <c r="D106" s="46" t="s">
        <v>38</v>
      </c>
      <c r="E106" s="46" t="s">
        <v>37</v>
      </c>
      <c r="F106" s="46" t="s">
        <v>38</v>
      </c>
      <c r="G106" s="46" t="s">
        <v>37</v>
      </c>
      <c r="H106" s="46" t="s">
        <v>38</v>
      </c>
      <c r="I106" s="47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3">
        <v>45929.0</v>
      </c>
      <c r="B107" s="76"/>
      <c r="C107" s="73">
        <v>45936.0</v>
      </c>
      <c r="D107" s="76"/>
      <c r="E107" s="75">
        <v>45943.0</v>
      </c>
      <c r="F107" s="76"/>
      <c r="G107" s="73">
        <v>45950.0</v>
      </c>
      <c r="H107" s="80"/>
      <c r="I107" s="69">
        <f>B113+D113+F113+H113</f>
        <v>672000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3">
        <v>45930.0</v>
      </c>
      <c r="B108" s="3"/>
      <c r="C108" s="73">
        <v>45937.0</v>
      </c>
      <c r="D108" s="3"/>
      <c r="E108" s="75">
        <v>45944.0</v>
      </c>
      <c r="F108" s="3"/>
      <c r="G108" s="73">
        <v>45951.0</v>
      </c>
      <c r="H108" s="8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3">
        <v>45931.0</v>
      </c>
      <c r="B109" s="74">
        <v>168000.0</v>
      </c>
      <c r="C109" s="73">
        <v>45938.0</v>
      </c>
      <c r="D109" s="74">
        <v>168000.0</v>
      </c>
      <c r="E109" s="75">
        <v>45945.0</v>
      </c>
      <c r="F109" s="74">
        <v>168000.0</v>
      </c>
      <c r="G109" s="73">
        <v>45952.0</v>
      </c>
      <c r="H109" s="28">
        <v>168000.0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3">
        <v>45932.0</v>
      </c>
      <c r="B110" s="3"/>
      <c r="C110" s="73">
        <v>45939.0</v>
      </c>
      <c r="D110" s="3"/>
      <c r="E110" s="75">
        <v>45946.0</v>
      </c>
      <c r="F110" s="76"/>
      <c r="G110" s="73">
        <v>45953.0</v>
      </c>
      <c r="H110" s="8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3">
        <v>45933.0</v>
      </c>
      <c r="B111" s="3"/>
      <c r="C111" s="73">
        <v>45940.0</v>
      </c>
      <c r="D111" s="3"/>
      <c r="E111" s="75">
        <v>45947.0</v>
      </c>
      <c r="F111" s="3"/>
      <c r="G111" s="73">
        <v>45954.0</v>
      </c>
      <c r="H111" s="8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3">
        <v>45934.0</v>
      </c>
      <c r="B112" s="3"/>
      <c r="C112" s="73">
        <v>45941.0</v>
      </c>
      <c r="D112" s="3"/>
      <c r="E112" s="75">
        <v>45948.0</v>
      </c>
      <c r="F112" s="3"/>
      <c r="G112" s="73">
        <v>45955.0</v>
      </c>
      <c r="H112" s="8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1"/>
      <c r="B113" s="78">
        <f>B109</f>
        <v>168000</v>
      </c>
      <c r="C113" s="11"/>
      <c r="D113" s="78">
        <f>D109</f>
        <v>168000</v>
      </c>
      <c r="E113" s="11"/>
      <c r="F113" s="78">
        <f>F109</f>
        <v>168000</v>
      </c>
      <c r="G113" s="11"/>
      <c r="H113" s="82">
        <f>H109</f>
        <v>168000</v>
      </c>
      <c r="I113" s="62">
        <v>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1"/>
      <c r="B114" s="60"/>
      <c r="C114" s="31"/>
      <c r="D114" s="60"/>
      <c r="E114" s="31"/>
      <c r="F114" s="60"/>
      <c r="G114" s="31"/>
      <c r="H114" s="60"/>
      <c r="I114" s="67">
        <v>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6" t="s">
        <v>37</v>
      </c>
      <c r="B116" s="46" t="s">
        <v>38</v>
      </c>
      <c r="C116" s="46" t="s">
        <v>37</v>
      </c>
      <c r="D116" s="46" t="s">
        <v>38</v>
      </c>
      <c r="E116" s="46" t="s">
        <v>37</v>
      </c>
      <c r="F116" s="46" t="s">
        <v>38</v>
      </c>
      <c r="G116" s="46" t="s">
        <v>37</v>
      </c>
      <c r="H116" s="46" t="s">
        <v>38</v>
      </c>
      <c r="I116" s="4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3">
        <v>45957.0</v>
      </c>
      <c r="B117" s="74">
        <v>168000.0</v>
      </c>
      <c r="C117" s="73">
        <v>45964.0</v>
      </c>
      <c r="D117" s="74">
        <v>168000.0</v>
      </c>
      <c r="E117" s="73">
        <v>45971.0</v>
      </c>
      <c r="F117" s="74">
        <v>168000.0</v>
      </c>
      <c r="G117" s="73">
        <v>45978.0</v>
      </c>
      <c r="H117" s="74">
        <v>168000.0</v>
      </c>
      <c r="I117" s="69">
        <f>B123+D123+F123+H123</f>
        <v>672000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3">
        <v>45958.0</v>
      </c>
      <c r="B118" s="3"/>
      <c r="C118" s="73">
        <v>45965.0</v>
      </c>
      <c r="D118" s="3"/>
      <c r="E118" s="73">
        <v>45972.0</v>
      </c>
      <c r="F118" s="3"/>
      <c r="G118" s="73">
        <v>45979.0</v>
      </c>
      <c r="H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3">
        <v>45959.0</v>
      </c>
      <c r="B119" s="76"/>
      <c r="C119" s="73">
        <v>45966.0</v>
      </c>
      <c r="D119" s="76"/>
      <c r="E119" s="73">
        <v>45973.0</v>
      </c>
      <c r="F119" s="76"/>
      <c r="G119" s="73">
        <v>45980.0</v>
      </c>
      <c r="H119" s="7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3">
        <v>45960.0</v>
      </c>
      <c r="B120" s="3"/>
      <c r="C120" s="73">
        <v>45967.0</v>
      </c>
      <c r="D120" s="3"/>
      <c r="E120" s="73">
        <v>45974.0</v>
      </c>
      <c r="F120" s="76"/>
      <c r="G120" s="73">
        <v>45981.0</v>
      </c>
      <c r="H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3">
        <v>45961.0</v>
      </c>
      <c r="B121" s="3"/>
      <c r="C121" s="73">
        <v>45968.0</v>
      </c>
      <c r="D121" s="3"/>
      <c r="E121" s="73">
        <v>45975.0</v>
      </c>
      <c r="F121" s="3"/>
      <c r="G121" s="73">
        <v>45982.0</v>
      </c>
      <c r="H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3">
        <v>45962.0</v>
      </c>
      <c r="B122" s="3"/>
      <c r="C122" s="73">
        <v>45969.0</v>
      </c>
      <c r="D122" s="3"/>
      <c r="E122" s="73">
        <v>45976.0</v>
      </c>
      <c r="F122" s="3"/>
      <c r="G122" s="73">
        <v>45983.0</v>
      </c>
      <c r="H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1"/>
      <c r="B123" s="78">
        <f>SUM(B117:B122)</f>
        <v>168000</v>
      </c>
      <c r="C123" s="11"/>
      <c r="D123" s="78">
        <f>SUM(D117:D122)</f>
        <v>168000</v>
      </c>
      <c r="E123" s="11"/>
      <c r="F123" s="78">
        <f>SUM(F117:F122)</f>
        <v>168000</v>
      </c>
      <c r="G123" s="11"/>
      <c r="H123" s="78">
        <f>SUM(H117:H122)</f>
        <v>168000</v>
      </c>
      <c r="I123" s="62">
        <v>11.0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1"/>
      <c r="B124" s="60"/>
      <c r="C124" s="31"/>
      <c r="D124" s="60"/>
      <c r="E124" s="31"/>
      <c r="F124" s="60"/>
      <c r="G124" s="31"/>
      <c r="H124" s="60"/>
      <c r="I124" s="67">
        <v>1.0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6" t="s">
        <v>37</v>
      </c>
      <c r="B126" s="46" t="s">
        <v>38</v>
      </c>
      <c r="C126" s="46" t="s">
        <v>37</v>
      </c>
      <c r="D126" s="46" t="s">
        <v>38</v>
      </c>
      <c r="E126" s="46" t="s">
        <v>37</v>
      </c>
      <c r="F126" s="46" t="s">
        <v>38</v>
      </c>
      <c r="G126" s="46" t="s">
        <v>37</v>
      </c>
      <c r="H126" s="46" t="s">
        <v>38</v>
      </c>
      <c r="I126" s="4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3">
        <v>45985.0</v>
      </c>
      <c r="B127" s="74">
        <v>168000.0</v>
      </c>
      <c r="C127" s="73">
        <v>45992.0</v>
      </c>
      <c r="D127" s="74">
        <v>168000.0</v>
      </c>
      <c r="E127" s="73">
        <v>45999.0</v>
      </c>
      <c r="F127" s="74">
        <v>168000.0</v>
      </c>
      <c r="G127" s="73">
        <v>46006.0</v>
      </c>
      <c r="H127" s="74">
        <v>168000.0</v>
      </c>
      <c r="I127" s="69">
        <f>B133+D133+F133+H133</f>
        <v>672000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3">
        <v>45986.0</v>
      </c>
      <c r="B128" s="3"/>
      <c r="C128" s="73">
        <v>45993.0</v>
      </c>
      <c r="D128" s="3"/>
      <c r="E128" s="73">
        <v>46000.0</v>
      </c>
      <c r="F128" s="3"/>
      <c r="G128" s="73">
        <v>46007.0</v>
      </c>
      <c r="H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3">
        <v>45987.0</v>
      </c>
      <c r="B129" s="76"/>
      <c r="C129" s="73">
        <v>45994.0</v>
      </c>
      <c r="D129" s="76"/>
      <c r="E129" s="73">
        <v>46001.0</v>
      </c>
      <c r="F129" s="76"/>
      <c r="G129" s="73">
        <v>46008.0</v>
      </c>
      <c r="H129" s="7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3">
        <v>45988.0</v>
      </c>
      <c r="B130" s="3"/>
      <c r="C130" s="73">
        <v>45995.0</v>
      </c>
      <c r="D130" s="3"/>
      <c r="E130" s="73">
        <v>46002.0</v>
      </c>
      <c r="F130" s="76"/>
      <c r="G130" s="73">
        <v>46009.0</v>
      </c>
      <c r="H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3">
        <v>45989.0</v>
      </c>
      <c r="B131" s="3"/>
      <c r="C131" s="73">
        <v>45996.0</v>
      </c>
      <c r="D131" s="3"/>
      <c r="E131" s="73">
        <v>46003.0</v>
      </c>
      <c r="F131" s="3"/>
      <c r="G131" s="73">
        <v>46010.0</v>
      </c>
      <c r="H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3">
        <v>45990.0</v>
      </c>
      <c r="B132" s="3"/>
      <c r="C132" s="73">
        <v>45997.0</v>
      </c>
      <c r="D132" s="3"/>
      <c r="E132" s="73">
        <v>46004.0</v>
      </c>
      <c r="F132" s="3"/>
      <c r="G132" s="73">
        <v>46011.0</v>
      </c>
      <c r="H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71"/>
      <c r="B133" s="83">
        <f>B127</f>
        <v>168000</v>
      </c>
      <c r="C133" s="84"/>
      <c r="D133" s="83">
        <f>D127</f>
        <v>168000</v>
      </c>
      <c r="E133" s="84"/>
      <c r="F133" s="83">
        <f>F127</f>
        <v>168000</v>
      </c>
      <c r="G133" s="84"/>
      <c r="H133" s="83">
        <f>H127</f>
        <v>168000</v>
      </c>
      <c r="I133" s="62">
        <v>12.0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1"/>
      <c r="B134" s="60"/>
      <c r="C134" s="31"/>
      <c r="D134" s="60"/>
      <c r="E134" s="31"/>
      <c r="F134" s="60"/>
      <c r="G134" s="31"/>
      <c r="H134" s="60"/>
      <c r="I134" s="67">
        <v>1.0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6" t="s">
        <v>37</v>
      </c>
      <c r="B136" s="46" t="s">
        <v>38</v>
      </c>
      <c r="C136" s="46" t="s">
        <v>37</v>
      </c>
      <c r="D136" s="46" t="s">
        <v>38</v>
      </c>
      <c r="E136" s="46" t="s">
        <v>37</v>
      </c>
      <c r="F136" s="46" t="s">
        <v>38</v>
      </c>
      <c r="G136" s="46" t="s">
        <v>37</v>
      </c>
      <c r="H136" s="46" t="s">
        <v>38</v>
      </c>
      <c r="I136" s="4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3">
        <v>46013.0</v>
      </c>
      <c r="B137" s="74">
        <v>168000.0</v>
      </c>
      <c r="C137" s="73">
        <v>46020.0</v>
      </c>
      <c r="D137" s="74">
        <v>168000.0</v>
      </c>
      <c r="E137" s="73">
        <v>46027.0</v>
      </c>
      <c r="F137" s="74">
        <v>168000.0</v>
      </c>
      <c r="G137" s="73">
        <v>46034.0</v>
      </c>
      <c r="H137" s="74">
        <v>168000.0</v>
      </c>
      <c r="I137" s="69">
        <f>B143+D143+F143+H143</f>
        <v>672000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3">
        <v>46014.0</v>
      </c>
      <c r="B138" s="3"/>
      <c r="C138" s="73">
        <v>46021.0</v>
      </c>
      <c r="D138" s="3"/>
      <c r="E138" s="73">
        <v>46028.0</v>
      </c>
      <c r="F138" s="3"/>
      <c r="G138" s="73">
        <v>46035.0</v>
      </c>
      <c r="H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3">
        <v>46015.0</v>
      </c>
      <c r="B139" s="76"/>
      <c r="C139" s="73">
        <v>46022.0</v>
      </c>
      <c r="D139" s="76"/>
      <c r="E139" s="73">
        <v>46029.0</v>
      </c>
      <c r="F139" s="76"/>
      <c r="G139" s="73">
        <v>46036.0</v>
      </c>
      <c r="H139" s="7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3">
        <v>46016.0</v>
      </c>
      <c r="B140" s="3"/>
      <c r="C140" s="73">
        <v>46023.0</v>
      </c>
      <c r="D140" s="3"/>
      <c r="E140" s="73">
        <v>46030.0</v>
      </c>
      <c r="F140" s="76"/>
      <c r="G140" s="73">
        <v>46037.0</v>
      </c>
      <c r="H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3">
        <v>46017.0</v>
      </c>
      <c r="B141" s="3"/>
      <c r="C141" s="73">
        <v>46024.0</v>
      </c>
      <c r="D141" s="3"/>
      <c r="E141" s="73">
        <v>46031.0</v>
      </c>
      <c r="F141" s="3"/>
      <c r="G141" s="73">
        <v>46038.0</v>
      </c>
      <c r="H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3">
        <v>46018.0</v>
      </c>
      <c r="B142" s="3"/>
      <c r="C142" s="73">
        <v>46025.0</v>
      </c>
      <c r="D142" s="3"/>
      <c r="E142" s="73">
        <v>46032.0</v>
      </c>
      <c r="F142" s="3"/>
      <c r="G142" s="73">
        <v>46039.0</v>
      </c>
      <c r="H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1"/>
      <c r="B143" s="78">
        <f>SUM(B137:B142)</f>
        <v>168000</v>
      </c>
      <c r="C143" s="11"/>
      <c r="D143" s="78">
        <f>SUM(D137:D142)</f>
        <v>168000</v>
      </c>
      <c r="E143" s="11"/>
      <c r="F143" s="78">
        <f>SUM(F137:F142)</f>
        <v>168000</v>
      </c>
      <c r="G143" s="11"/>
      <c r="H143" s="78">
        <f>SUM(H137:H142)</f>
        <v>168000</v>
      </c>
      <c r="I143" s="62">
        <v>13.0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1"/>
      <c r="B144" s="60"/>
      <c r="C144" s="31"/>
      <c r="D144" s="60"/>
      <c r="E144" s="31"/>
      <c r="F144" s="60"/>
      <c r="G144" s="31"/>
      <c r="H144" s="60"/>
      <c r="I144" s="67">
        <v>1.0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6" t="s">
        <v>37</v>
      </c>
      <c r="B146" s="46" t="s">
        <v>38</v>
      </c>
      <c r="C146" s="46" t="s">
        <v>37</v>
      </c>
      <c r="D146" s="46" t="s">
        <v>38</v>
      </c>
      <c r="E146" s="46" t="s">
        <v>37</v>
      </c>
      <c r="F146" s="46" t="s">
        <v>38</v>
      </c>
      <c r="G146" s="46" t="s">
        <v>37</v>
      </c>
      <c r="H146" s="46" t="s">
        <v>38</v>
      </c>
      <c r="I146" s="4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73">
        <v>46041.0</v>
      </c>
      <c r="B147" s="76"/>
      <c r="C147" s="73">
        <v>46048.0</v>
      </c>
      <c r="D147" s="85" t="s">
        <v>40</v>
      </c>
      <c r="E147" s="73">
        <v>46055.0</v>
      </c>
      <c r="F147" s="74">
        <v>168000.0</v>
      </c>
      <c r="G147" s="73">
        <v>46062.0</v>
      </c>
      <c r="H147" s="74">
        <v>168000.0</v>
      </c>
      <c r="I147" s="69">
        <f>B153+D153+F153+H153</f>
        <v>504000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73">
        <v>46042.0</v>
      </c>
      <c r="B148" s="3"/>
      <c r="C148" s="73">
        <v>46049.0</v>
      </c>
      <c r="E148" s="73">
        <v>46056.0</v>
      </c>
      <c r="F148" s="3"/>
      <c r="G148" s="73">
        <v>46063.0</v>
      </c>
      <c r="H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73">
        <v>46043.0</v>
      </c>
      <c r="B149" s="74">
        <v>168000.0</v>
      </c>
      <c r="C149" s="73">
        <v>46050.0</v>
      </c>
      <c r="E149" s="73">
        <v>46057.0</v>
      </c>
      <c r="F149" s="76"/>
      <c r="G149" s="73">
        <v>46064.0</v>
      </c>
      <c r="H149" s="7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73">
        <v>46044.0</v>
      </c>
      <c r="B150" s="3"/>
      <c r="C150" s="73">
        <v>46051.0</v>
      </c>
      <c r="E150" s="73">
        <v>46058.0</v>
      </c>
      <c r="F150" s="76"/>
      <c r="G150" s="73">
        <v>46065.0</v>
      </c>
      <c r="H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3">
        <v>46045.0</v>
      </c>
      <c r="B151" s="3"/>
      <c r="C151" s="73">
        <v>46052.0</v>
      </c>
      <c r="E151" s="73">
        <v>46059.0</v>
      </c>
      <c r="F151" s="3"/>
      <c r="G151" s="73">
        <v>46066.0</v>
      </c>
      <c r="H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3">
        <v>46046.0</v>
      </c>
      <c r="B152" s="3"/>
      <c r="C152" s="73">
        <v>46053.0</v>
      </c>
      <c r="E152" s="73">
        <v>46060.0</v>
      </c>
      <c r="F152" s="3"/>
      <c r="G152" s="73">
        <v>46067.0</v>
      </c>
      <c r="H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1"/>
      <c r="B153" s="78">
        <f>SUM(B147:B152)</f>
        <v>168000</v>
      </c>
      <c r="C153" s="11"/>
      <c r="D153" s="78">
        <f>SUM(D147:D152)</f>
        <v>0</v>
      </c>
      <c r="E153" s="11"/>
      <c r="F153" s="78">
        <f>SUM(F147:F152)</f>
        <v>168000</v>
      </c>
      <c r="G153" s="11"/>
      <c r="H153" s="78">
        <f>SUM(H147:H152)</f>
        <v>168000</v>
      </c>
      <c r="I153" s="62">
        <v>14.0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1"/>
      <c r="B154" s="60"/>
      <c r="C154" s="31"/>
      <c r="D154" s="60"/>
      <c r="E154" s="31"/>
      <c r="F154" s="60"/>
      <c r="G154" s="31"/>
      <c r="H154" s="60"/>
      <c r="I154" s="86">
        <v>1.0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6" t="s">
        <v>37</v>
      </c>
      <c r="B156" s="46" t="s">
        <v>38</v>
      </c>
      <c r="C156" s="46" t="s">
        <v>37</v>
      </c>
      <c r="D156" s="46" t="s">
        <v>38</v>
      </c>
      <c r="E156" s="46" t="s">
        <v>37</v>
      </c>
      <c r="F156" s="46" t="s">
        <v>38</v>
      </c>
      <c r="G156" s="46" t="s">
        <v>37</v>
      </c>
      <c r="H156" s="46" t="s">
        <v>38</v>
      </c>
      <c r="I156" s="4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7">
        <v>46069.0</v>
      </c>
      <c r="B157" s="74">
        <v>168000.0</v>
      </c>
      <c r="C157" s="87">
        <v>46076.0</v>
      </c>
      <c r="D157" s="74">
        <v>168000.0</v>
      </c>
      <c r="E157" s="87">
        <v>46083.0</v>
      </c>
      <c r="F157" s="74">
        <v>168000.0</v>
      </c>
      <c r="G157" s="87">
        <v>46090.0</v>
      </c>
      <c r="H157" s="74">
        <v>168000.0</v>
      </c>
      <c r="I157" s="69">
        <f>B163+D163+F163+H163</f>
        <v>672000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87">
        <v>46070.0</v>
      </c>
      <c r="B158" s="88"/>
      <c r="C158" s="87">
        <v>46077.0</v>
      </c>
      <c r="D158" s="3"/>
      <c r="E158" s="87">
        <v>46084.0</v>
      </c>
      <c r="F158" s="3"/>
      <c r="G158" s="87">
        <v>46091.0</v>
      </c>
      <c r="H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87">
        <v>46071.0</v>
      </c>
      <c r="B159" s="88"/>
      <c r="C159" s="87">
        <v>46078.0</v>
      </c>
      <c r="D159" s="3"/>
      <c r="E159" s="87">
        <v>46085.0</v>
      </c>
      <c r="F159" s="3"/>
      <c r="G159" s="87">
        <v>46092.0</v>
      </c>
      <c r="H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87">
        <v>46072.0</v>
      </c>
      <c r="B160" s="88"/>
      <c r="C160" s="87">
        <v>46079.0</v>
      </c>
      <c r="D160" s="3"/>
      <c r="E160" s="87">
        <v>46086.0</v>
      </c>
      <c r="F160" s="3"/>
      <c r="G160" s="87">
        <v>46093.0</v>
      </c>
      <c r="H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87">
        <v>46073.0</v>
      </c>
      <c r="B161" s="88"/>
      <c r="C161" s="87">
        <v>46080.0</v>
      </c>
      <c r="D161" s="3"/>
      <c r="E161" s="87">
        <v>46087.0</v>
      </c>
      <c r="F161" s="3"/>
      <c r="G161" s="87">
        <v>46094.0</v>
      </c>
      <c r="H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87">
        <v>46074.0</v>
      </c>
      <c r="B162" s="88"/>
      <c r="C162" s="87">
        <v>46081.0</v>
      </c>
      <c r="D162" s="3"/>
      <c r="E162" s="87">
        <v>46088.0</v>
      </c>
      <c r="F162" s="3"/>
      <c r="G162" s="87">
        <v>46095.0</v>
      </c>
      <c r="H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/>
      <c r="B163" s="89">
        <f>SUM(B157:B162)</f>
        <v>168000</v>
      </c>
      <c r="C163" s="11"/>
      <c r="D163" s="89">
        <f>SUM(D157:D162)</f>
        <v>168000</v>
      </c>
      <c r="E163" s="11"/>
      <c r="F163" s="89">
        <f>SUM(F157:F162)</f>
        <v>168000</v>
      </c>
      <c r="G163" s="11"/>
      <c r="H163" s="89">
        <f>SUM(H157:H162)</f>
        <v>168000</v>
      </c>
      <c r="I163" s="90">
        <v>15.0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1"/>
      <c r="B164" s="60"/>
      <c r="C164" s="31"/>
      <c r="D164" s="60"/>
      <c r="E164" s="31"/>
      <c r="F164" s="60"/>
      <c r="G164" s="31"/>
      <c r="H164" s="60"/>
      <c r="I164" s="86">
        <v>1.0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87">
        <v>46097.0</v>
      </c>
      <c r="B166" s="91">
        <v>168000.0</v>
      </c>
      <c r="C166" s="87">
        <v>46104.0</v>
      </c>
      <c r="D166" s="92">
        <v>168000.0</v>
      </c>
      <c r="E166" s="87">
        <v>46111.0</v>
      </c>
      <c r="F166" s="92">
        <v>168000.0</v>
      </c>
      <c r="G166" s="87">
        <v>46118.0</v>
      </c>
      <c r="H166" s="92">
        <v>168000.0</v>
      </c>
      <c r="I166" s="69">
        <f>B172+D172+F172+H172</f>
        <v>672000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87">
        <v>46098.0</v>
      </c>
      <c r="B167" s="93"/>
      <c r="C167" s="87">
        <v>46105.0</v>
      </c>
      <c r="D167" s="3"/>
      <c r="E167" s="87">
        <v>46112.0</v>
      </c>
      <c r="F167" s="3"/>
      <c r="G167" s="87">
        <v>46119.0</v>
      </c>
      <c r="H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87">
        <v>46099.0</v>
      </c>
      <c r="B168" s="93"/>
      <c r="C168" s="87">
        <v>46106.0</v>
      </c>
      <c r="D168" s="3"/>
      <c r="E168" s="87">
        <v>46113.0</v>
      </c>
      <c r="F168" s="3"/>
      <c r="G168" s="87">
        <v>46120.0</v>
      </c>
      <c r="H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7">
        <v>46100.0</v>
      </c>
      <c r="B169" s="93"/>
      <c r="C169" s="87">
        <v>46107.0</v>
      </c>
      <c r="D169" s="3"/>
      <c r="E169" s="87">
        <v>46114.0</v>
      </c>
      <c r="F169" s="3"/>
      <c r="G169" s="87">
        <v>46121.0</v>
      </c>
      <c r="H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87">
        <v>46101.0</v>
      </c>
      <c r="B170" s="93"/>
      <c r="C170" s="87">
        <v>46108.0</v>
      </c>
      <c r="D170" s="3"/>
      <c r="E170" s="87">
        <v>46115.0</v>
      </c>
      <c r="F170" s="3"/>
      <c r="G170" s="87">
        <v>46122.0</v>
      </c>
      <c r="H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87">
        <v>46102.0</v>
      </c>
      <c r="B171" s="93"/>
      <c r="C171" s="87">
        <v>46109.0</v>
      </c>
      <c r="D171" s="3"/>
      <c r="E171" s="87">
        <v>46116.0</v>
      </c>
      <c r="F171" s="3"/>
      <c r="G171" s="87">
        <v>46123.0</v>
      </c>
      <c r="H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/>
      <c r="B172" s="89">
        <f>SUM(B166:B171)</f>
        <v>168000</v>
      </c>
      <c r="C172" s="11"/>
      <c r="D172" s="89">
        <f>SUM(D166:D171)</f>
        <v>168000</v>
      </c>
      <c r="E172" s="11"/>
      <c r="F172" s="89">
        <f>SUM(F166:F171)</f>
        <v>168000</v>
      </c>
      <c r="G172" s="11"/>
      <c r="H172" s="89">
        <f>SUM(H166:H171)</f>
        <v>168000</v>
      </c>
      <c r="I172" s="90">
        <v>16.0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1"/>
      <c r="B173" s="60"/>
      <c r="C173" s="31"/>
      <c r="D173" s="60"/>
      <c r="E173" s="31"/>
      <c r="F173" s="60"/>
      <c r="G173" s="31"/>
      <c r="H173" s="60"/>
      <c r="I173" s="86">
        <v>1.0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7">
        <v>46125.0</v>
      </c>
      <c r="B175" s="92">
        <v>168000.0</v>
      </c>
      <c r="C175" s="87">
        <v>46132.0</v>
      </c>
      <c r="D175" s="92">
        <v>168000.0</v>
      </c>
      <c r="E175" s="87">
        <v>46139.0</v>
      </c>
      <c r="F175" s="92">
        <v>168000.0</v>
      </c>
      <c r="G175" s="87">
        <v>46146.0</v>
      </c>
      <c r="H175" s="92">
        <v>168000.0</v>
      </c>
      <c r="I175" s="69">
        <f>B181+D181+F181+H181</f>
        <v>672000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7">
        <v>46126.0</v>
      </c>
      <c r="B176" s="93"/>
      <c r="C176" s="87">
        <v>46133.0</v>
      </c>
      <c r="D176" s="3"/>
      <c r="E176" s="87">
        <v>46140.0</v>
      </c>
      <c r="F176" s="3"/>
      <c r="G176" s="87">
        <v>46147.0</v>
      </c>
      <c r="H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7">
        <v>46127.0</v>
      </c>
      <c r="B177" s="93"/>
      <c r="C177" s="87">
        <v>46134.0</v>
      </c>
      <c r="D177" s="3"/>
      <c r="E177" s="87">
        <v>46141.0</v>
      </c>
      <c r="F177" s="3"/>
      <c r="G177" s="87">
        <v>46148.0</v>
      </c>
      <c r="H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7">
        <v>46128.0</v>
      </c>
      <c r="B178" s="93"/>
      <c r="C178" s="87">
        <v>46135.0</v>
      </c>
      <c r="D178" s="3"/>
      <c r="E178" s="87">
        <v>46142.0</v>
      </c>
      <c r="F178" s="3"/>
      <c r="G178" s="87">
        <v>46149.0</v>
      </c>
      <c r="H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7">
        <v>46129.0</v>
      </c>
      <c r="B179" s="93"/>
      <c r="C179" s="87">
        <v>46136.0</v>
      </c>
      <c r="D179" s="3"/>
      <c r="E179" s="87">
        <v>46143.0</v>
      </c>
      <c r="F179" s="3"/>
      <c r="G179" s="87">
        <v>46150.0</v>
      </c>
      <c r="H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87">
        <v>46130.0</v>
      </c>
      <c r="B180" s="93"/>
      <c r="C180" s="87">
        <v>46137.0</v>
      </c>
      <c r="D180" s="3"/>
      <c r="E180" s="87">
        <v>46144.0</v>
      </c>
      <c r="F180" s="3"/>
      <c r="G180" s="87">
        <v>46123.0</v>
      </c>
      <c r="H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1"/>
      <c r="B181" s="89">
        <f>SUM(B175:B180)</f>
        <v>168000</v>
      </c>
      <c r="C181" s="11"/>
      <c r="D181" s="89">
        <f>SUM(D175:D180)</f>
        <v>168000</v>
      </c>
      <c r="E181" s="11"/>
      <c r="F181" s="89">
        <f>SUM(F175:F180)</f>
        <v>168000</v>
      </c>
      <c r="G181" s="11"/>
      <c r="H181" s="89">
        <f>SUM(H175:H180)</f>
        <v>168000</v>
      </c>
      <c r="I181" s="90">
        <v>17.0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1"/>
      <c r="B182" s="60"/>
      <c r="C182" s="31"/>
      <c r="D182" s="60"/>
      <c r="E182" s="31"/>
      <c r="F182" s="60"/>
      <c r="G182" s="31"/>
      <c r="H182" s="60"/>
      <c r="I182" s="86">
        <v>1.0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7">
        <v>46125.0</v>
      </c>
      <c r="B184" s="92">
        <v>168000.0</v>
      </c>
      <c r="C184" s="87">
        <v>46132.0</v>
      </c>
      <c r="D184" s="92">
        <v>168000.0</v>
      </c>
      <c r="E184" s="87">
        <v>46139.0</v>
      </c>
      <c r="F184" s="92">
        <v>168000.0</v>
      </c>
      <c r="G184" s="87">
        <v>46146.0</v>
      </c>
      <c r="H184" s="92">
        <v>168000.0</v>
      </c>
      <c r="I184" s="69">
        <f>B190+D190+F190+H190</f>
        <v>672000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7">
        <v>46126.0</v>
      </c>
      <c r="B185" s="93"/>
      <c r="C185" s="87">
        <v>46133.0</v>
      </c>
      <c r="D185" s="3"/>
      <c r="E185" s="87">
        <v>46140.0</v>
      </c>
      <c r="F185" s="3"/>
      <c r="G185" s="87">
        <v>46147.0</v>
      </c>
      <c r="H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7">
        <v>46127.0</v>
      </c>
      <c r="B186" s="93"/>
      <c r="C186" s="87">
        <v>46134.0</v>
      </c>
      <c r="D186" s="3"/>
      <c r="E186" s="87">
        <v>46141.0</v>
      </c>
      <c r="F186" s="3"/>
      <c r="G186" s="87">
        <v>46148.0</v>
      </c>
      <c r="H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7">
        <v>46128.0</v>
      </c>
      <c r="B187" s="93"/>
      <c r="C187" s="87">
        <v>46135.0</v>
      </c>
      <c r="D187" s="3"/>
      <c r="E187" s="87">
        <v>46142.0</v>
      </c>
      <c r="F187" s="3"/>
      <c r="G187" s="87">
        <v>46149.0</v>
      </c>
      <c r="H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7">
        <v>46129.0</v>
      </c>
      <c r="B188" s="93"/>
      <c r="C188" s="87">
        <v>46136.0</v>
      </c>
      <c r="D188" s="3"/>
      <c r="E188" s="87">
        <v>46143.0</v>
      </c>
      <c r="F188" s="3"/>
      <c r="G188" s="87">
        <v>46150.0</v>
      </c>
      <c r="H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7">
        <v>46130.0</v>
      </c>
      <c r="B189" s="93"/>
      <c r="C189" s="87">
        <v>46137.0</v>
      </c>
      <c r="D189" s="3"/>
      <c r="E189" s="87">
        <v>46144.0</v>
      </c>
      <c r="F189" s="3"/>
      <c r="G189" s="87">
        <v>46151.0</v>
      </c>
      <c r="H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/>
      <c r="B190" s="89">
        <f>SUM(B184:B189)</f>
        <v>168000</v>
      </c>
      <c r="C190" s="11"/>
      <c r="D190" s="89">
        <f>SUM(D184:D189)</f>
        <v>168000</v>
      </c>
      <c r="E190" s="11"/>
      <c r="F190" s="89">
        <f>SUM(F184:F189)</f>
        <v>168000</v>
      </c>
      <c r="G190" s="11"/>
      <c r="H190" s="89">
        <f>SUM(H184:H189)</f>
        <v>168000</v>
      </c>
      <c r="I190" s="90">
        <v>18.0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1"/>
      <c r="B191" s="60"/>
      <c r="C191" s="31"/>
      <c r="D191" s="60"/>
      <c r="E191" s="31"/>
      <c r="F191" s="60"/>
      <c r="G191" s="31"/>
      <c r="H191" s="60"/>
      <c r="I191" s="86">
        <v>1.0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87">
        <v>46153.0</v>
      </c>
      <c r="B193" s="92">
        <v>168000.0</v>
      </c>
      <c r="C193" s="87">
        <v>46160.0</v>
      </c>
      <c r="D193" s="92">
        <v>168000.0</v>
      </c>
      <c r="E193" s="87">
        <v>46167.0</v>
      </c>
      <c r="F193" s="92"/>
      <c r="G193" s="87">
        <v>46174.0</v>
      </c>
      <c r="H193" s="92"/>
      <c r="I193" s="69">
        <f>B199+D199+F199+H199</f>
        <v>336000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87">
        <v>46154.0</v>
      </c>
      <c r="B194" s="93"/>
      <c r="C194" s="87">
        <v>46161.0</v>
      </c>
      <c r="D194" s="3"/>
      <c r="E194" s="87">
        <v>46168.0</v>
      </c>
      <c r="F194" s="3"/>
      <c r="G194" s="87">
        <v>46175.0</v>
      </c>
      <c r="H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87">
        <v>46155.0</v>
      </c>
      <c r="B195" s="93"/>
      <c r="C195" s="87">
        <v>46162.0</v>
      </c>
      <c r="D195" s="3"/>
      <c r="E195" s="87">
        <v>46169.0</v>
      </c>
      <c r="F195" s="3"/>
      <c r="G195" s="87">
        <v>46176.0</v>
      </c>
      <c r="H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87">
        <v>46156.0</v>
      </c>
      <c r="B196" s="93"/>
      <c r="C196" s="87">
        <v>46163.0</v>
      </c>
      <c r="D196" s="3"/>
      <c r="E196" s="87">
        <v>46170.0</v>
      </c>
      <c r="F196" s="3"/>
      <c r="G196" s="87">
        <v>46177.0</v>
      </c>
      <c r="H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87">
        <v>46157.0</v>
      </c>
      <c r="B197" s="93"/>
      <c r="C197" s="87">
        <v>46164.0</v>
      </c>
      <c r="D197" s="3"/>
      <c r="E197" s="87">
        <v>46171.0</v>
      </c>
      <c r="F197" s="3"/>
      <c r="G197" s="87">
        <v>46178.0</v>
      </c>
      <c r="H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87">
        <v>46158.0</v>
      </c>
      <c r="B198" s="93"/>
      <c r="C198" s="87">
        <v>46165.0</v>
      </c>
      <c r="D198" s="3"/>
      <c r="E198" s="87">
        <v>46172.0</v>
      </c>
      <c r="F198" s="3"/>
      <c r="G198" s="87">
        <v>46179.0</v>
      </c>
      <c r="H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1"/>
      <c r="B199" s="89">
        <f>SUM(B193:B198)</f>
        <v>168000</v>
      </c>
      <c r="C199" s="11"/>
      <c r="D199" s="89">
        <f>SUM(D193:D198)</f>
        <v>168000</v>
      </c>
      <c r="E199" s="11"/>
      <c r="F199" s="89">
        <f>SUM(F193:F198)</f>
        <v>0</v>
      </c>
      <c r="G199" s="11"/>
      <c r="H199" s="89">
        <f>SUM(H193:H198)</f>
        <v>0</v>
      </c>
      <c r="I199" s="90">
        <v>19.0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1"/>
      <c r="B200" s="60"/>
      <c r="C200" s="31"/>
      <c r="D200" s="60"/>
      <c r="E200" s="31"/>
      <c r="F200" s="60"/>
      <c r="G200" s="31"/>
      <c r="H200" s="60"/>
      <c r="I200" s="86">
        <v>1.0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</sheetData>
  <mergeCells count="48">
    <mergeCell ref="H8:H9"/>
    <mergeCell ref="A9:B9"/>
    <mergeCell ref="C9:D9"/>
    <mergeCell ref="E9:F9"/>
    <mergeCell ref="A10:B11"/>
    <mergeCell ref="C10:D11"/>
    <mergeCell ref="E10:F11"/>
    <mergeCell ref="A12:D12"/>
    <mergeCell ref="G10:G11"/>
    <mergeCell ref="H10:H11"/>
    <mergeCell ref="I16:I21"/>
    <mergeCell ref="A24:I24"/>
    <mergeCell ref="I26:I31"/>
    <mergeCell ref="A34:I34"/>
    <mergeCell ref="A44:I44"/>
    <mergeCell ref="I36:I41"/>
    <mergeCell ref="I46:I51"/>
    <mergeCell ref="I56:I61"/>
    <mergeCell ref="I66:I72"/>
    <mergeCell ref="I77:I83"/>
    <mergeCell ref="I87:I92"/>
    <mergeCell ref="I97:I102"/>
    <mergeCell ref="A54:I54"/>
    <mergeCell ref="A64:I64"/>
    <mergeCell ref="A75:I75"/>
    <mergeCell ref="A95:I95"/>
    <mergeCell ref="A105:I105"/>
    <mergeCell ref="A115:I115"/>
    <mergeCell ref="A125:I125"/>
    <mergeCell ref="A183:I183"/>
    <mergeCell ref="A192:I192"/>
    <mergeCell ref="A201:I201"/>
    <mergeCell ref="A135:I135"/>
    <mergeCell ref="A145:I145"/>
    <mergeCell ref="D147:D152"/>
    <mergeCell ref="I147:I152"/>
    <mergeCell ref="A155:I155"/>
    <mergeCell ref="A165:I165"/>
    <mergeCell ref="A174:I174"/>
    <mergeCell ref="I184:I189"/>
    <mergeCell ref="I193:I198"/>
    <mergeCell ref="I107:I112"/>
    <mergeCell ref="I117:I122"/>
    <mergeCell ref="I127:I132"/>
    <mergeCell ref="I137:I142"/>
    <mergeCell ref="I157:I162"/>
    <mergeCell ref="I166:I171"/>
    <mergeCell ref="I175:I1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