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<sst xmlns="http://schemas.openxmlformats.org/spreadsheetml/2006/main" count="84" uniqueCount="50">
  <si>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</si>
  <si>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</si>
  <si>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</si>
  <si>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</si>
  <si>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</si>
  <si>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</si>
  <si>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</si>
  <si>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</si>
  <si>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</si>
  <si>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AX4</t>
  </si>
  <si>
    <t>SUZUKI</t>
  </si>
  <si>
    <t>BKK15I</t>
  </si>
  <si>
    <t>62B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</si>
  <si>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</si>
  <si>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</si>
  <si>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</si>
  <si>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</si>
  <si>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</si>
  <si>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</si>
  <si>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</si>
  <si>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</si>
  <si>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</si>
  <si>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</si>
  <si>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</si>
  <si>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</si>
  <si>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</si>
  <si>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Traspaso de propiedad</t>
  </si>
  <si>
    <t xml:space="preserve">DEUDA DE SEMANA </t>
  </si>
  <si>
    <t>WILLIAM</t>
  </si>
  <si>
    <t>GARCIA GUZMAN</t>
  </si>
  <si>
    <t>COLOMBIA</t>
  </si>
  <si>
    <t>SOAT</t>
  </si>
  <si>
    <t>FIRMA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</si>
  <si>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</si>
  <si>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</si>
  <si>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</si>
  <si>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</si>
  <si>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</si>
  <si>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</si>
  <si>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</si>
  <si>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entrega de moto</t>
  </si>
  <si>
    <t>REF.</t>
  </si>
  <si>
    <t>M12276284</t>
  </si>
  <si>
    <t>M11279005</t>
  </si>
  <si>
    <t>M15224043</t>
  </si>
  <si>
    <t>M08870961</t>
  </si>
  <si>
    <t>M17616709</t>
  </si>
  <si>
    <t>M08378900</t>
  </si>
  <si>
    <t>M14723823</t>
  </si>
  <si>
    <t>M06620602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</si>
</sst>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"/>
    <numFmt numFmtId="165" formatCode="[$$]#,##0.00"/>
    <numFmt numFmtId="166" formatCode="dd/mm/yyyy"/>
  </numFmts>
  <fonts count="26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color theme="1"/>
      <name val="Arial"/>
    </font>
    <font>
      <b/>
      <sz val="12.0"/>
      <color theme="1"/>
      <name val="Arial"/>
    </font>
    <font>
      <b/>
      <sz val="14.0"/>
      <color rgb="FF0077D9"/>
      <name val="Arial"/>
    </font>
    <font>
      <b/>
      <color rgb="FFFFFFFF"/>
      <name val="Arial"/>
    </font>
    <font>
      <sz val="25.0"/>
      <color theme="1"/>
      <name val="Arial"/>
    </font>
    <font>
      <color rgb="FFFFFFFF"/>
      <name val="Arial"/>
    </font>
    <font/>
    <font>
      <b/>
      <sz val="25.0"/>
      <color rgb="FFFFFFFF"/>
      <name val="Arial"/>
    </font>
    <font>
      <b/>
      <sz val="24.0"/>
      <color rgb="FFFFFFFF"/>
      <name val="Arial"/>
    </font>
    <font>
      <b/>
      <sz val="25.0"/>
      <color theme="1"/>
      <name val="Arial"/>
    </font>
    <font>
      <sz val="11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b/>
      <sz val="11.0"/>
      <color theme="1"/>
      <name val="Arial"/>
    </font>
    <font>
      <b/>
      <sz val="13.0"/>
      <color rgb="FFFFFFFF"/>
      <name val="Arial"/>
    </font>
    <font>
      <b/>
      <color rgb="FF46BDC6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1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3" fontId="6" numFmtId="165" xfId="0" applyAlignment="1" applyBorder="1" applyFont="1" applyNumberFormat="1">
      <alignment horizontal="center" vertical="bottom"/>
    </xf>
    <xf borderId="1" fillId="3" fontId="6" numFmtId="165" xfId="0" applyAlignment="1" applyBorder="1" applyFont="1" applyNumberFormat="1">
      <alignment horizontal="center" readingOrder="0" vertical="bottom"/>
    </xf>
    <xf borderId="1" fillId="3" fontId="6" numFmtId="4" xfId="0" applyAlignment="1" applyBorder="1" applyFont="1" applyNumberFormat="1">
      <alignment horizontal="center" vertical="bottom"/>
    </xf>
    <xf borderId="1" fillId="3" fontId="6" numFmtId="1" xfId="0" applyAlignment="1" applyBorder="1" applyFont="1" applyNumberFormat="1">
      <alignment horizontal="center" readingOrder="0" vertical="bottom"/>
    </xf>
    <xf borderId="2" fillId="3" fontId="6" numFmtId="165" xfId="0" applyAlignment="1" applyBorder="1" applyFont="1" applyNumberFormat="1">
      <alignment horizontal="center" vertical="bottom"/>
    </xf>
    <xf borderId="2" fillId="3" fontId="7" numFmtId="165" xfId="0" applyAlignment="1" applyBorder="1" applyFont="1" applyNumberFormat="1">
      <alignment horizontal="center" vertical="bottom"/>
    </xf>
    <xf borderId="2" fillId="6" fontId="6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shrinkToFit="0" vertical="bottom" wrapText="1"/>
    </xf>
    <xf borderId="0" fillId="9" fontId="10" numFmtId="0" xfId="0" applyAlignment="1" applyFill="1" applyFont="1">
      <alignment horizontal="center" readingOrder="0" vertical="bottom"/>
    </xf>
    <xf borderId="0" fillId="9" fontId="11" numFmtId="3" xfId="0" applyAlignment="1" applyFont="1" applyNumberFormat="1">
      <alignment horizontal="center" readingOrder="0" vertical="bottom"/>
    </xf>
    <xf borderId="0" fillId="8" fontId="12" numFmtId="0" xfId="0" applyAlignment="1" applyFont="1">
      <alignment horizontal="center" shrinkToFit="0" vertical="bottom" wrapText="1"/>
    </xf>
    <xf borderId="0" fillId="9" fontId="13" numFmtId="0" xfId="0" applyAlignment="1" applyFont="1">
      <alignment horizontal="center" vertical="bottom"/>
    </xf>
    <xf borderId="0" fillId="10" fontId="8" numFmtId="164" xfId="0" applyAlignment="1" applyFill="1" applyFont="1" applyNumberFormat="1">
      <alignment horizontal="center"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4" numFmtId="0" xfId="0" applyAlignment="1" applyBorder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5" fillId="0" fontId="16" numFmtId="0" xfId="0" applyBorder="1" applyFont="1"/>
    <xf borderId="0" fillId="11" fontId="14" numFmtId="3" xfId="0" applyAlignment="1" applyFont="1" applyNumberFormat="1">
      <alignment horizontal="center" vertical="bottom"/>
    </xf>
    <xf borderId="0" fillId="12" fontId="17" numFmtId="4" xfId="0" applyAlignment="1" applyFill="1" applyFont="1" applyNumberFormat="1">
      <alignment horizontal="center" vertical="bottom"/>
    </xf>
    <xf borderId="0" fillId="10" fontId="18" numFmtId="4" xfId="0" applyAlignment="1" applyFont="1" applyNumberFormat="1">
      <alignment horizontal="center" vertical="bottom"/>
    </xf>
    <xf borderId="0" fillId="13" fontId="8" numFmtId="164" xfId="0" applyAlignment="1" applyFill="1" applyFont="1" applyNumberFormat="1">
      <alignment horizontal="center" vertical="bottom"/>
    </xf>
    <xf borderId="5" fillId="11" fontId="19" numFmtId="0" xfId="0" applyAlignment="1" applyBorder="1" applyFont="1">
      <alignment horizontal="center" vertical="bottom"/>
    </xf>
    <xf borderId="6" fillId="0" fontId="16" numFmtId="0" xfId="0" applyBorder="1" applyFont="1"/>
    <xf borderId="0" fillId="14" fontId="13" numFmtId="0" xfId="0" applyAlignment="1" applyFill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15" fontId="13" numFmtId="0" xfId="0" applyAlignment="1" applyFill="1" applyFont="1">
      <alignment horizontal="center" vertical="bottom"/>
    </xf>
    <xf borderId="0" fillId="15" fontId="2" numFmtId="0" xfId="0" applyAlignment="1" applyFont="1">
      <alignment vertical="bottom"/>
    </xf>
    <xf borderId="0" fillId="11" fontId="2" numFmtId="166" xfId="0" applyAlignment="1" applyFont="1" applyNumberFormat="1">
      <alignment vertical="bottom"/>
    </xf>
    <xf borderId="0" fillId="16" fontId="2" numFmtId="164" xfId="0" applyAlignment="1" applyFill="1" applyFont="1" applyNumberFormat="1">
      <alignment vertical="bottom"/>
    </xf>
    <xf borderId="0" fillId="11" fontId="20" numFmtId="166" xfId="0" applyAlignment="1" applyFont="1" applyNumberFormat="1">
      <alignment horizontal="center" readingOrder="0" vertical="bottom"/>
    </xf>
    <xf borderId="0" fillId="16" fontId="21" numFmtId="164" xfId="0" applyAlignment="1" applyFont="1" applyNumberFormat="1">
      <alignment horizontal="center" readingOrder="0" textRotation="45" vertical="center"/>
    </xf>
    <xf borderId="0" fillId="11" fontId="22" numFmtId="164" xfId="0" applyAlignment="1" applyFont="1" applyNumberFormat="1">
      <alignment horizontal="center" vertical="bottom"/>
    </xf>
    <xf borderId="0" fillId="11" fontId="20" numFmtId="166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3" numFmtId="164" xfId="0" applyAlignment="1" applyFont="1" applyNumberFormat="1">
      <alignment horizontal="center" readingOrder="0" vertical="bottom"/>
    </xf>
    <xf borderId="0" fillId="0" fontId="11" numFmtId="164" xfId="0" applyAlignment="1" applyFont="1" applyNumberFormat="1">
      <alignment horizontal="center" readingOrder="0" vertical="bottom"/>
    </xf>
    <xf borderId="0" fillId="4" fontId="24" numFmtId="164" xfId="0" applyAlignment="1" applyFont="1" applyNumberFormat="1">
      <alignment horizontal="center" vertical="bottom"/>
    </xf>
    <xf borderId="0" fillId="4" fontId="24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17" fontId="23" numFmtId="0" xfId="0" applyAlignment="1" applyFill="1" applyFont="1">
      <alignment horizontal="center" readingOrder="0" vertical="bottom"/>
    </xf>
    <xf borderId="0" fillId="11" fontId="25" numFmtId="0" xfId="0" applyAlignment="1" applyFont="1">
      <alignment horizontal="center" vertical="bottom"/>
    </xf>
    <xf borderId="0" fillId="4" fontId="24" numFmtId="0" xfId="0" applyAlignment="1" applyFont="1">
      <alignment horizontal="center" readingOrder="0" vertical="bottom"/>
    </xf>
    <xf borderId="0" fillId="11" fontId="2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0</xdr:row>
      <xdr:rowOff>0</xdr:rowOff>
    </xdr:from>
    <xdr:ext cx="1876425" cy="2705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21.75"/>
    <col customWidth="1" min="2" max="2" width="17.0"/>
    <col customWidth="1" min="3" max="3" width="18.0"/>
    <col customWidth="1" min="4" max="5" width="16.0"/>
    <col customWidth="1" min="6" max="6" width="18.63"/>
    <col customWidth="1" min="7" max="7" width="17.75"/>
    <col customWidth="1" min="8" max="8" width="22.38"/>
    <col customWidth="1" min="9" max="9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7" t="s">
        <v>11</v>
      </c>
      <c r="F2" s="8" t="s">
        <v>12</v>
      </c>
      <c r="G2" s="9">
        <v>6600000.0</v>
      </c>
      <c r="H2" s="9">
        <v>800000.0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0"/>
      <c r="C3" s="10"/>
      <c r="D3" s="10"/>
      <c r="E3" s="10"/>
      <c r="F3" s="10"/>
      <c r="G3" s="10"/>
      <c r="H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f>G2-H2</f>
        <v>5800000</v>
      </c>
      <c r="B5" s="14">
        <v>2.519</v>
      </c>
      <c r="C5" s="15">
        <f>A5*B5</f>
        <v>14610200</v>
      </c>
      <c r="D5" s="16">
        <v>18.0</v>
      </c>
      <c r="E5" s="17">
        <f>C5/D5</f>
        <v>811677.7778</v>
      </c>
      <c r="F5" s="18">
        <f>E5/2</f>
        <v>405838.8889</v>
      </c>
      <c r="G5" s="19">
        <f>E5/4</f>
        <v>202919.4444</v>
      </c>
      <c r="H5" s="17">
        <f>G5/6</f>
        <v>33819.90741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21</v>
      </c>
      <c r="B6" s="20" t="s">
        <v>22</v>
      </c>
      <c r="C6" s="20" t="s">
        <v>23</v>
      </c>
      <c r="D6" s="20" t="s">
        <v>24</v>
      </c>
      <c r="E6" s="20" t="s">
        <v>25</v>
      </c>
      <c r="F6" s="3"/>
      <c r="G6" s="21" t="s">
        <v>26</v>
      </c>
      <c r="H6" s="21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2" t="s">
        <v>28</v>
      </c>
      <c r="B7" s="22" t="s">
        <v>29</v>
      </c>
      <c r="C7" s="23">
        <v>2.000008211E9</v>
      </c>
      <c r="D7" s="22" t="s">
        <v>30</v>
      </c>
      <c r="E7" s="22">
        <v>3.148511863E9</v>
      </c>
      <c r="F7" s="24" t="s">
        <v>31</v>
      </c>
      <c r="G7" s="25" t="s">
        <v>32</v>
      </c>
      <c r="H7" s="2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7"/>
      <c r="B8" s="27"/>
      <c r="C8" s="27"/>
      <c r="D8" s="27"/>
      <c r="E8" s="28"/>
      <c r="F8" s="29"/>
      <c r="G8" s="3"/>
      <c r="H8" s="30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1" t="s">
        <v>33</v>
      </c>
      <c r="C9" s="32" t="s">
        <v>34</v>
      </c>
      <c r="E9" s="32" t="s">
        <v>35</v>
      </c>
      <c r="G9" s="32" t="s">
        <v>36</v>
      </c>
      <c r="H9" s="3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4">
        <f>I16+I26+I37</f>
        <v>1690000</v>
      </c>
      <c r="C10" s="35">
        <f>C5-A10</f>
        <v>12920200</v>
      </c>
      <c r="E10" s="36">
        <f>C10+G10</f>
        <v>12920200</v>
      </c>
      <c r="G10" s="37"/>
      <c r="H10" s="38">
        <f>I23+I33+I44</f>
        <v>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3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0" t="s">
        <v>37</v>
      </c>
      <c r="E12" s="41"/>
      <c r="F12" s="42"/>
      <c r="G12" s="42"/>
      <c r="H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3" t="s">
        <v>38</v>
      </c>
      <c r="B15" s="43" t="s">
        <v>39</v>
      </c>
      <c r="C15" s="43" t="s">
        <v>38</v>
      </c>
      <c r="D15" s="43" t="s">
        <v>39</v>
      </c>
      <c r="E15" s="43" t="s">
        <v>38</v>
      </c>
      <c r="F15" s="43" t="s">
        <v>39</v>
      </c>
      <c r="G15" s="43" t="s">
        <v>38</v>
      </c>
      <c r="H15" s="43" t="s">
        <v>39</v>
      </c>
      <c r="I15" s="4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5"/>
      <c r="B16" s="46"/>
      <c r="C16" s="47">
        <v>46118.0</v>
      </c>
      <c r="D16" s="48">
        <v>203000.0</v>
      </c>
      <c r="E16" s="47">
        <v>46125.0</v>
      </c>
      <c r="F16" s="48">
        <v>203000.0</v>
      </c>
      <c r="G16" s="47">
        <v>46132.0</v>
      </c>
      <c r="H16" s="48">
        <v>203000.0</v>
      </c>
      <c r="I16" s="49">
        <f>B22+D22+F22+H22</f>
        <v>675000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0"/>
      <c r="B17" s="51"/>
      <c r="C17" s="47">
        <v>46119.0</v>
      </c>
      <c r="E17" s="47">
        <v>46126.0</v>
      </c>
      <c r="G17" s="47">
        <v>46133.0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0"/>
      <c r="B18" s="51"/>
      <c r="C18" s="47">
        <v>46120.0</v>
      </c>
      <c r="E18" s="47">
        <v>46127.0</v>
      </c>
      <c r="G18" s="47">
        <v>46134.0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7">
        <v>46114.0</v>
      </c>
      <c r="B19" s="52" t="s">
        <v>40</v>
      </c>
      <c r="C19" s="47">
        <v>46121.0</v>
      </c>
      <c r="E19" s="47">
        <v>46128.0</v>
      </c>
      <c r="G19" s="47">
        <v>46135.0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7">
        <v>46115.0</v>
      </c>
      <c r="B20" s="53">
        <v>33000.0</v>
      </c>
      <c r="C20" s="47">
        <v>46122.0</v>
      </c>
      <c r="E20" s="47">
        <v>46129.0</v>
      </c>
      <c r="G20" s="47">
        <v>46136.0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7">
        <v>46116.0</v>
      </c>
      <c r="B21" s="53">
        <v>33000.0</v>
      </c>
      <c r="C21" s="47">
        <v>46123.0</v>
      </c>
      <c r="E21" s="47">
        <v>46130.0</v>
      </c>
      <c r="G21" s="47">
        <v>46137.0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/>
      <c r="B22" s="54">
        <f>SUM(B16:B21)</f>
        <v>66000</v>
      </c>
      <c r="C22" s="10"/>
      <c r="D22" s="54">
        <f>SUM(D16:D21)</f>
        <v>203000</v>
      </c>
      <c r="E22" s="10"/>
      <c r="F22" s="54">
        <f>SUM(F16:F21)</f>
        <v>203000</v>
      </c>
      <c r="G22" s="10"/>
      <c r="H22" s="54">
        <f>SUM(H16:H21)</f>
        <v>203000</v>
      </c>
      <c r="I22" s="55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6" t="s">
        <v>41</v>
      </c>
      <c r="B23" s="57" t="s">
        <v>42</v>
      </c>
      <c r="C23" s="56" t="s">
        <v>41</v>
      </c>
      <c r="D23" s="57" t="s">
        <v>43</v>
      </c>
      <c r="E23" s="56" t="s">
        <v>41</v>
      </c>
      <c r="F23" s="57" t="s">
        <v>44</v>
      </c>
      <c r="G23" s="56" t="s">
        <v>41</v>
      </c>
      <c r="H23" s="57" t="s">
        <v>45</v>
      </c>
      <c r="I23" s="58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3" t="s">
        <v>38</v>
      </c>
      <c r="B25" s="43" t="s">
        <v>39</v>
      </c>
      <c r="C25" s="43" t="s">
        <v>38</v>
      </c>
      <c r="D25" s="43" t="s">
        <v>39</v>
      </c>
      <c r="E25" s="43" t="s">
        <v>38</v>
      </c>
      <c r="F25" s="43" t="s">
        <v>39</v>
      </c>
      <c r="G25" s="43" t="s">
        <v>38</v>
      </c>
      <c r="H25" s="43" t="s">
        <v>39</v>
      </c>
      <c r="I25" s="4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7">
        <v>46139.0</v>
      </c>
      <c r="B26" s="48">
        <v>203000.0</v>
      </c>
      <c r="C26" s="47">
        <v>46146.0</v>
      </c>
      <c r="D26" s="48">
        <v>203000.0</v>
      </c>
      <c r="E26" s="47">
        <v>46153.0</v>
      </c>
      <c r="F26" s="48">
        <v>203000.0</v>
      </c>
      <c r="G26" s="47">
        <v>46160.0</v>
      </c>
      <c r="H26" s="48">
        <v>203000.0</v>
      </c>
      <c r="I26" s="49">
        <f>B32+D32+F32+H32</f>
        <v>812000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7">
        <v>46140.0</v>
      </c>
      <c r="C27" s="47">
        <v>46147.0</v>
      </c>
      <c r="E27" s="47">
        <v>46154.0</v>
      </c>
      <c r="G27" s="47">
        <v>46161.0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7">
        <v>46141.0</v>
      </c>
      <c r="C28" s="47">
        <v>46148.0</v>
      </c>
      <c r="E28" s="47">
        <v>46155.0</v>
      </c>
      <c r="G28" s="47">
        <v>46162.0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7">
        <v>46142.0</v>
      </c>
      <c r="C29" s="47">
        <v>46149.0</v>
      </c>
      <c r="E29" s="47">
        <v>46156.0</v>
      </c>
      <c r="G29" s="47">
        <v>46163.0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7">
        <v>46143.0</v>
      </c>
      <c r="C30" s="47">
        <v>46150.0</v>
      </c>
      <c r="E30" s="47">
        <v>46157.0</v>
      </c>
      <c r="G30" s="47">
        <v>46164.0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7">
        <v>46144.0</v>
      </c>
      <c r="C31" s="47">
        <v>46151.0</v>
      </c>
      <c r="E31" s="47">
        <v>46158.0</v>
      </c>
      <c r="G31" s="47">
        <v>46165.0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/>
      <c r="B32" s="54">
        <f>SUM(B26:B31)</f>
        <v>203000</v>
      </c>
      <c r="C32" s="10"/>
      <c r="D32" s="54">
        <f>SUM(D26:D31)</f>
        <v>203000</v>
      </c>
      <c r="E32" s="10"/>
      <c r="F32" s="54">
        <f>SUM(F26:F31)</f>
        <v>203000</v>
      </c>
      <c r="G32" s="10"/>
      <c r="H32" s="54">
        <f>SUM(H26:H31)</f>
        <v>203000</v>
      </c>
      <c r="I32" s="59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6" t="s">
        <v>41</v>
      </c>
      <c r="B33" s="57" t="s">
        <v>46</v>
      </c>
      <c r="C33" s="56" t="s">
        <v>41</v>
      </c>
      <c r="D33" s="57" t="s">
        <v>47</v>
      </c>
      <c r="E33" s="56" t="s">
        <v>41</v>
      </c>
      <c r="F33" s="57" t="s">
        <v>48</v>
      </c>
      <c r="G33" s="56" t="s">
        <v>41</v>
      </c>
      <c r="H33" s="57" t="s">
        <v>49</v>
      </c>
      <c r="I33" s="60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3" t="s">
        <v>38</v>
      </c>
      <c r="B36" s="43" t="s">
        <v>39</v>
      </c>
      <c r="C36" s="43" t="s">
        <v>38</v>
      </c>
      <c r="D36" s="43" t="s">
        <v>39</v>
      </c>
      <c r="E36" s="43" t="s">
        <v>38</v>
      </c>
      <c r="F36" s="43" t="s">
        <v>39</v>
      </c>
      <c r="G36" s="43" t="s">
        <v>38</v>
      </c>
      <c r="H36" s="43" t="s">
        <v>39</v>
      </c>
      <c r="I36" s="4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7">
        <v>46167.0</v>
      </c>
      <c r="B37" s="48">
        <v>203000.0</v>
      </c>
      <c r="C37" s="47">
        <v>46174.0</v>
      </c>
      <c r="D37" s="48"/>
      <c r="E37" s="47">
        <v>46181.0</v>
      </c>
      <c r="F37" s="48"/>
      <c r="G37" s="47">
        <v>46188.0</v>
      </c>
      <c r="H37" s="48"/>
      <c r="I37" s="49">
        <f>B43+D43+F43+H43</f>
        <v>203000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7">
        <v>46168.0</v>
      </c>
      <c r="C38" s="47">
        <v>46175.0</v>
      </c>
      <c r="E38" s="47">
        <v>46182.0</v>
      </c>
      <c r="G38" s="47">
        <v>46189.0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7">
        <v>46169.0</v>
      </c>
      <c r="C39" s="47">
        <v>46176.0</v>
      </c>
      <c r="E39" s="47">
        <v>46183.0</v>
      </c>
      <c r="G39" s="47">
        <v>46190.0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7">
        <v>46170.0</v>
      </c>
      <c r="C40" s="47">
        <v>46177.0</v>
      </c>
      <c r="E40" s="47">
        <v>46184.0</v>
      </c>
      <c r="G40" s="47">
        <v>46191.0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7">
        <v>46171.0</v>
      </c>
      <c r="C41" s="47">
        <v>46178.0</v>
      </c>
      <c r="E41" s="47">
        <v>46185.0</v>
      </c>
      <c r="G41" s="47">
        <v>46192.0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7">
        <v>46172.0</v>
      </c>
      <c r="C42" s="47">
        <v>46179.0</v>
      </c>
      <c r="E42" s="47">
        <v>46186.0</v>
      </c>
      <c r="G42" s="47">
        <v>46193.0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0"/>
      <c r="B43" s="54">
        <f>SUM(B37:B42)</f>
        <v>203000</v>
      </c>
      <c r="C43" s="10"/>
      <c r="D43" s="54">
        <f>SUM(D37:D42)</f>
        <v>0</v>
      </c>
      <c r="E43" s="10"/>
      <c r="F43" s="54">
        <f>SUM(F37:F42)</f>
        <v>0</v>
      </c>
      <c r="G43" s="10"/>
      <c r="H43" s="54">
        <f>SUM(H37:H42)</f>
        <v>0</v>
      </c>
      <c r="I43" s="59">
        <v>3.0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6" t="s">
        <v>41</v>
      </c>
      <c r="B44" s="57"/>
      <c r="C44" s="56" t="s">
        <v>41</v>
      </c>
      <c r="D44" s="57"/>
      <c r="E44" s="56" t="s">
        <v>41</v>
      </c>
      <c r="F44" s="57"/>
      <c r="G44" s="56" t="s">
        <v>41</v>
      </c>
      <c r="H44" s="57"/>
      <c r="I44" s="5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</sheetData>
  <mergeCells count="29">
    <mergeCell ref="E10:F11"/>
    <mergeCell ref="G10:G11"/>
    <mergeCell ref="I1:I12"/>
    <mergeCell ref="H8:H9"/>
    <mergeCell ref="A9:B9"/>
    <mergeCell ref="C9:D9"/>
    <mergeCell ref="E9:F9"/>
    <mergeCell ref="A10:B11"/>
    <mergeCell ref="H10:H11"/>
    <mergeCell ref="D16:D21"/>
    <mergeCell ref="D26:D31"/>
    <mergeCell ref="H16:H21"/>
    <mergeCell ref="H26:H31"/>
    <mergeCell ref="C10:D11"/>
    <mergeCell ref="A12:D12"/>
    <mergeCell ref="F16:F21"/>
    <mergeCell ref="I16:I21"/>
    <mergeCell ref="A24:I24"/>
    <mergeCell ref="B26:B31"/>
    <mergeCell ref="F26:F31"/>
    <mergeCell ref="I37:I42"/>
    <mergeCell ref="A45:I45"/>
    <mergeCell ref="I26:I31"/>
    <mergeCell ref="A34:I34"/>
    <mergeCell ref="A35:I35"/>
    <mergeCell ref="B37:B42"/>
    <mergeCell ref="D37:D42"/>
    <mergeCell ref="F37:F42"/>
    <mergeCell ref="H37:H42"/>
  </mergeCells>
  <drawing r:id="rId1"/>
</worksheet>
</file>