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media/image1.png" ContentType="image/png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 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<sst xmlns="http://schemas.openxmlformats.org/spreadsheetml/2006/main" count="64" uniqueCount="41">
  <si>
    <t xml:space="preserve">CODIGO</t>
  </si>
  <si>
    <t xml:space="preserve">MOTO</t>
  </si>
  <si>
    <t xml:space="preserve">MODELO</t>
  </si>
  <si>
    <t xml:space="preserve">MARCA</t>
  </si>
  <si>
    <t xml:space="preserve">PLACA</t>
  </si>
  <si>
    <t xml:space="preserve">MOVIL</t>
  </si>
  <si>
    <t xml:space="preserve">PRECIO </t>
  </si>
  <si>
    <t xml:space="preserve">INICIAL</t>
  </si>
  <si>
    <t xml:space="preserve">A2175</t>
  </si>
  <si>
    <t xml:space="preserve">BRS 150</t>
  </si>
  <si>
    <t xml:space="preserve">BERA</t>
  </si>
  <si>
    <t xml:space="preserve">MOVIL 07-A</t>
  </si>
  <si>
    <t xml:space="preserve">COSTO -INICIAL</t>
  </si>
  <si>
    <t xml:space="preserve">INTERES</t>
  </si>
  <si>
    <t xml:space="preserve">COSTO NETO</t>
  </si>
  <si>
    <t xml:space="preserve">MESES</t>
  </si>
  <si>
    <t xml:space="preserve">MESUAL</t>
  </si>
  <si>
    <t xml:space="preserve">QUINCENAL </t>
  </si>
  <si>
    <t xml:space="preserve">SEMANAL</t>
  </si>
  <si>
    <t xml:space="preserve">DIARIO </t>
  </si>
  <si>
    <t xml:space="preserve">NOMBRES</t>
  </si>
  <si>
    <t xml:space="preserve">APELLIDO</t>
  </si>
  <si>
    <t xml:space="preserve">CEDULA</t>
  </si>
  <si>
    <t xml:space="preserve">NACIONALIDAD </t>
  </si>
  <si>
    <t xml:space="preserve">NUMERO</t>
  </si>
  <si>
    <t xml:space="preserve">SOAT</t>
  </si>
  <si>
    <t xml:space="preserve">Traspaso de propiedad</t>
  </si>
  <si>
    <t xml:space="preserve">DEUDA DE SEMANA </t>
  </si>
  <si>
    <t xml:space="preserve">LEWIS JOSE </t>
  </si>
  <si>
    <t xml:space="preserve">RIVAS PIÑA</t>
  </si>
  <si>
    <t xml:space="preserve">PPT: 6680006</t>
  </si>
  <si>
    <t xml:space="preserve">VENEZOLANO</t>
  </si>
  <si>
    <t xml:space="preserve">ACTIVO</t>
  </si>
  <si>
    <t xml:space="preserve">SALDO ACTUAL PAGADO</t>
  </si>
  <si>
    <t xml:space="preserve">DEUDA  A PAGAR</t>
  </si>
  <si>
    <t xml:space="preserve">DEUDA TOTAL.</t>
  </si>
  <si>
    <t xml:space="preserve">DEUDA ADQUIRIDA </t>
  </si>
  <si>
    <t xml:space="preserve">RENTAL MOTORS S.A.S</t>
  </si>
  <si>
    <t xml:space="preserve">FECHA</t>
  </si>
  <si>
    <t xml:space="preserve">ABONO</t>
  </si>
  <si>
    <t xml:space="preserve">REF.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</si>
</sst>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[$ $]#,##0"/>
    <numFmt numFmtId="166" formatCode="0"/>
    <numFmt numFmtId="167" formatCode="@"/>
    <numFmt numFmtId="168" formatCode="[$$]#,##0.00"/>
    <numFmt numFmtId="169" formatCode="#,##0"/>
    <numFmt numFmtId="170" formatCode="General"/>
    <numFmt numFmtId="171" formatCode="dd/mm/yyyy"/>
    <numFmt numFmtId="172" formatCode="#,##0.00"/>
    <numFmt numFmtId="173" formatCode="\$#,##0"/>
  </numFmts>
  <fonts count="23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sz val="11"/>
      <color rgb="FF000000"/>
      <name val="Arial"/>
      <family val="0"/>
      <charset val="1"/>
    </font>
    <font>
      <b val="true"/>
      <sz val="11"/>
      <color rgb="FF000000"/>
      <name val="Nunito"/>
      <family val="0"/>
      <charset val="1"/>
    </font>
    <font>
      <b val="true"/>
      <sz val="11"/>
      <color rgb="FF000000"/>
      <name val="Arial"/>
      <family val="0"/>
      <charset val="1"/>
    </font>
    <font>
      <b val="true"/>
      <sz val="12"/>
      <color rgb="FFFFFFFF"/>
      <name val="Nunito"/>
      <family val="0"/>
      <charset val="1"/>
    </font>
    <font>
      <b val="true"/>
      <sz val="12"/>
      <color rgb="FF000000"/>
      <name val="Nunito"/>
      <family val="0"/>
      <charset val="1"/>
    </font>
    <font>
      <b val="true"/>
      <sz val="12"/>
      <color rgb="FF00000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2"/>
      <color rgb="FF000000"/>
      <name val="Arial"/>
      <family val="0"/>
      <charset val="1"/>
    </font>
    <font>
      <b val="true"/>
      <sz val="11"/>
      <color rgb="FF0077D9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8"/>
      <color rgb="FF000000"/>
      <name val="Arial"/>
      <family val="0"/>
      <charset val="1"/>
    </font>
    <font>
      <sz val="11"/>
      <color rgb="FFFFFFFF"/>
      <name val="Arial"/>
      <family val="0"/>
      <charset val="1"/>
    </font>
    <font>
      <b val="true"/>
      <sz val="25"/>
      <color rgb="FF000000"/>
      <name val="Arial"/>
      <family val="0"/>
      <charset val="1"/>
    </font>
    <font>
      <b val="true"/>
      <sz val="25"/>
      <color rgb="FFFFFFFF"/>
      <name val="Arial"/>
      <family val="0"/>
      <charset val="1"/>
    </font>
    <font>
      <b val="true"/>
      <sz val="26"/>
      <color rgb="FFFFFFFF"/>
      <name val="Arial"/>
      <family val="0"/>
      <charset val="1"/>
    </font>
    <font>
      <b val="true"/>
      <sz val="23"/>
      <color rgb="FFFFFFFF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sz val="11"/>
      <color rgb="FF46BDC6"/>
      <name val="Arial"/>
      <family val="0"/>
      <charset val="1"/>
    </font>
  </fonts>
  <fills count="17">
    <fill>
      <patternFill patternType="none"/>
    </fill>
    <fill>
      <patternFill patternType="gray125"/>
    </fill>
    <fill>
      <patternFill patternType="solid">
        <fgColor rgb="FF0A99D6"/>
        <bgColor rgb="FF0077D9"/>
      </patternFill>
    </fill>
    <fill>
      <patternFill patternType="solid">
        <fgColor rgb="FF999999"/>
        <bgColor rgb="FF808080"/>
      </patternFill>
    </fill>
    <fill>
      <patternFill patternType="solid">
        <fgColor rgb="FF000000"/>
        <bgColor rgb="FF003300"/>
      </patternFill>
    </fill>
    <fill>
      <patternFill patternType="solid">
        <fgColor rgb="FF0000FF"/>
        <bgColor rgb="FF0000FF"/>
      </patternFill>
    </fill>
    <fill>
      <patternFill patternType="solid">
        <fgColor rgb="FF00FF00"/>
        <bgColor rgb="FF00FFFF"/>
      </patternFill>
    </fill>
    <fill>
      <patternFill patternType="solid">
        <fgColor rgb="FF3D85C6"/>
        <bgColor rgb="FF4285F4"/>
      </patternFill>
    </fill>
    <fill>
      <patternFill patternType="solid">
        <fgColor rgb="FFFF9900"/>
        <bgColor rgb="FFFF6D01"/>
      </patternFill>
    </fill>
    <fill>
      <patternFill patternType="solid">
        <fgColor rgb="FFF2F2F2"/>
        <bgColor rgb="FFFFFFFF"/>
      </patternFill>
    </fill>
    <fill>
      <patternFill patternType="solid">
        <fgColor rgb="FF1155CC"/>
        <bgColor rgb="FF0077D9"/>
      </patternFill>
    </fill>
    <fill>
      <patternFill patternType="solid">
        <fgColor rgb="FFFF0000"/>
        <bgColor rgb="FF993300"/>
      </patternFill>
    </fill>
    <fill>
      <patternFill patternType="solid">
        <fgColor rgb="FF46BDC6"/>
        <bgColor rgb="FF3D85C6"/>
      </patternFill>
    </fill>
    <fill>
      <patternFill patternType="solid">
        <fgColor rgb="FF4285F4"/>
        <bgColor rgb="FF3D85C6"/>
      </patternFill>
    </fill>
    <fill>
      <patternFill patternType="solid">
        <fgColor rgb="FF134F5C"/>
        <bgColor rgb="FF333333"/>
      </patternFill>
    </fill>
    <fill>
      <patternFill patternType="solid">
        <fgColor rgb="FFFFFFFF"/>
        <bgColor rgb="FFF2F2F2"/>
      </patternFill>
    </fill>
    <fill>
      <patternFill patternType="solid">
        <fgColor rgb="FFFF6D01"/>
        <bgColor rgb="FFFF9900"/>
      </patternFill>
    </fill>
  </fills>
  <borders count="10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>
        <color rgb="FF4285F4"/>
      </left>
      <right/>
      <top/>
      <bottom/>
      <diagonal/>
    </border>
    <border diagonalUp="false" diagonalDown="false">
      <left/>
      <right style="thin">
        <color rgb="FF4285F4"/>
      </right>
      <top style="thin">
        <color rgb="FF4285F4"/>
      </top>
      <bottom/>
      <diagonal/>
    </border>
    <border diagonalUp="false" diagonalDown="false">
      <left/>
      <right style="thin">
        <color rgb="FF4285F4"/>
      </right>
      <top/>
      <bottom style="thin">
        <color rgb="FF4285F4"/>
      </bottom>
      <diagonal/>
    </border>
    <border diagonalUp="false" diagonalDown="false">
      <left style="thin">
        <color rgb="FF4285F4"/>
      </left>
      <right/>
      <top/>
      <bottom style="thin">
        <color rgb="FF4285F4"/>
      </bottom>
      <diagonal/>
    </border>
    <border diagonalUp="false" diagonalDown="false">
      <left/>
      <right/>
      <top/>
      <bottom style="thin">
        <color rgb="FF4285F4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5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8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9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9" fillId="3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0" fillId="3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9" fillId="6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7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2" fillId="8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3" fillId="9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7" fillId="3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3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7" fillId="3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4" fillId="1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11" fillId="1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5" fillId="11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1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12" borderId="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5" fillId="12" borderId="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5" fillId="1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5" fillId="12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5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6" fillId="5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6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17" fillId="1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8" fillId="11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9" fillId="11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5" fillId="11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17" fillId="12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13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13" borderId="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13" borderId="9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1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4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1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1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5" fillId="1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5" fillId="1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20" fillId="1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5" fillId="1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2" fontId="5" fillId="1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5" fillId="1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21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1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1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1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5" fillId="1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5" fillId="1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2" fillId="1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A99D6"/>
      <rgbColor rgb="FFC0C0C0"/>
      <rgbColor rgb="FF808080"/>
      <rgbColor rgb="FF9999FF"/>
      <rgbColor rgb="FF993366"/>
      <rgbColor rgb="FFF2F2F2"/>
      <rgbColor rgb="FFCCFFFF"/>
      <rgbColor rgb="FF660066"/>
      <rgbColor rgb="FFFF8080"/>
      <rgbColor rgb="FF0077D9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285F4"/>
      <rgbColor rgb="FF46BDC6"/>
      <rgbColor rgb="FF99CC00"/>
      <rgbColor rgb="FFFFCC00"/>
      <rgbColor rgb="FFFF9900"/>
      <rgbColor rgb="FFFF6D01"/>
      <rgbColor rgb="FF666699"/>
      <rgbColor rgb="FF999999"/>
      <rgbColor rgb="FF134F5C"/>
      <rgbColor rgb="FF3D85C6"/>
      <rgbColor rgb="FF003300"/>
      <rgbColor rgb="FF333300"/>
      <rgbColor rgb="FF993300"/>
      <rgbColor rgb="FF993366"/>
      <rgbColor rgb="FF1155CC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8</xdr:col>
      <xdr:colOff>93600</xdr:colOff>
      <xdr:row>0</xdr:row>
      <xdr:rowOff>0</xdr:rowOff>
    </xdr:from>
    <xdr:to>
      <xdr:col>9</xdr:col>
      <xdr:colOff>240840</xdr:colOff>
      <xdr:row>13</xdr:row>
      <xdr:rowOff>123480</xdr:rowOff>
    </xdr:to>
    <xdr:pic>
      <xdr:nvPicPr>
        <xdr:cNvPr id="0" name="image1.png" descr=""/>
        <xdr:cNvPicPr/>
      </xdr:nvPicPr>
      <xdr:blipFill>
        <a:blip r:embed="rId1"/>
        <a:stretch/>
      </xdr:blipFill>
      <xdr:spPr>
        <a:xfrm>
          <a:off x="10906560" y="0"/>
          <a:ext cx="1847520" cy="2723760"/>
        </a:xfrm>
        <a:prstGeom prst="rect">
          <a:avLst/>
        </a:prstGeom>
        <a:ln w="0">
          <a:noFill/>
        </a:ln>
      </xdr:spPr>
    </xdr:pic>
    <xdr:clientData/>
  </xdr:twoCellAnchor>
</xdr:wsDr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3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2" activeCellId="0" sqref="F2"/>
    </sheetView>
  </sheetViews>
  <sheetFormatPr defaultColWidth="12.6328125" defaultRowHeight="15.75" zeroHeight="false" outlineLevelRow="0" outlineLevelCol="0"/>
  <cols>
    <col collapsed="false" customWidth="true" hidden="false" outlineLevel="0" max="1" min="1" style="0" width="16.89"/>
    <col collapsed="false" customWidth="true" hidden="false" outlineLevel="0" max="2" min="2" style="0" width="19"/>
    <col collapsed="false" customWidth="true" hidden="false" outlineLevel="0" max="3" min="3" style="0" width="17.88"/>
    <col collapsed="false" customWidth="true" hidden="false" outlineLevel="0" max="4" min="4" style="0" width="18.5"/>
    <col collapsed="false" customWidth="true" hidden="false" outlineLevel="0" max="5" min="5" style="0" width="20.13"/>
    <col collapsed="false" customWidth="true" hidden="false" outlineLevel="0" max="6" min="6" style="0" width="19.25"/>
    <col collapsed="false" customWidth="true" hidden="false" outlineLevel="0" max="7" min="7" style="0" width="20.25"/>
    <col collapsed="false" customWidth="true" hidden="false" outlineLevel="0" max="8" min="8" style="0" width="21.5"/>
    <col collapsed="false" customWidth="true" hidden="false" outlineLevel="0" max="9" min="9" style="0" width="24.13"/>
  </cols>
  <sheetData>
    <row r="1" customFormat="false" ht="15.7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customFormat="false" ht="15.75" hidden="false" customHeight="false" outlineLevel="0" collapsed="false">
      <c r="A2" s="4" t="s">
        <v>8</v>
      </c>
      <c r="B2" s="5" t="s">
        <v>9</v>
      </c>
      <c r="C2" s="6" t="n">
        <v>2027</v>
      </c>
      <c r="D2" s="4" t="s">
        <v>10</v>
      </c>
      <c r="E2" s="7"/>
      <c r="F2" s="8" t="s">
        <v>11</v>
      </c>
      <c r="G2" s="9" t="n">
        <v>6000000</v>
      </c>
      <c r="H2" s="9" t="n">
        <v>1000000</v>
      </c>
      <c r="I2" s="2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customFormat="false" ht="15.75" hidden="false" customHeight="false" outlineLevel="0" collapsed="false">
      <c r="A3" s="10"/>
      <c r="B3" s="10"/>
      <c r="C3" s="10"/>
      <c r="D3" s="10"/>
      <c r="E3" s="10"/>
      <c r="F3" s="10"/>
      <c r="G3" s="10"/>
      <c r="H3" s="10"/>
      <c r="I3" s="2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customFormat="false" ht="15.75" hidden="false" customHeight="false" outlineLevel="0" collapsed="false">
      <c r="A4" s="11" t="s">
        <v>12</v>
      </c>
      <c r="B4" s="12" t="s">
        <v>13</v>
      </c>
      <c r="C4" s="12" t="s">
        <v>14</v>
      </c>
      <c r="D4" s="12" t="s">
        <v>15</v>
      </c>
      <c r="E4" s="12" t="s">
        <v>16</v>
      </c>
      <c r="F4" s="12" t="s">
        <v>17</v>
      </c>
      <c r="G4" s="12" t="s">
        <v>18</v>
      </c>
      <c r="H4" s="12" t="s">
        <v>19</v>
      </c>
      <c r="I4" s="2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customFormat="false" ht="15.75" hidden="false" customHeight="false" outlineLevel="0" collapsed="false">
      <c r="A5" s="9" t="n">
        <f aca="false">G2-H2</f>
        <v>5000000</v>
      </c>
      <c r="B5" s="9" t="n">
        <v>3.0647</v>
      </c>
      <c r="C5" s="13" t="n">
        <f aca="false">A5*B5</f>
        <v>15323500</v>
      </c>
      <c r="D5" s="6" t="n">
        <v>18</v>
      </c>
      <c r="E5" s="14" t="n">
        <f aca="false">C5/D5</f>
        <v>851305.5556</v>
      </c>
      <c r="F5" s="15" t="n">
        <f aca="false">E5/2</f>
        <v>425652.7778</v>
      </c>
      <c r="G5" s="16" t="n">
        <f aca="false">E5/4</f>
        <v>212826.3889</v>
      </c>
      <c r="H5" s="14" t="n">
        <f aca="false">G5/6</f>
        <v>35471.06481</v>
      </c>
      <c r="I5" s="2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customFormat="false" ht="15.75" hidden="false" customHeight="false" outlineLevel="0" collapsed="false">
      <c r="A6" s="17" t="s">
        <v>20</v>
      </c>
      <c r="B6" s="17" t="s">
        <v>21</v>
      </c>
      <c r="C6" s="17" t="s">
        <v>22</v>
      </c>
      <c r="D6" s="17" t="s">
        <v>23</v>
      </c>
      <c r="E6" s="17" t="s">
        <v>24</v>
      </c>
      <c r="F6" s="18" t="s">
        <v>25</v>
      </c>
      <c r="G6" s="19" t="s">
        <v>26</v>
      </c>
      <c r="H6" s="19" t="s">
        <v>27</v>
      </c>
      <c r="I6" s="2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customFormat="false" ht="15.75" hidden="false" customHeight="false" outlineLevel="0" collapsed="false">
      <c r="A7" s="20" t="s">
        <v>28</v>
      </c>
      <c r="B7" s="21" t="s">
        <v>29</v>
      </c>
      <c r="C7" s="22" t="s">
        <v>30</v>
      </c>
      <c r="D7" s="23" t="s">
        <v>31</v>
      </c>
      <c r="E7" s="24" t="n">
        <v>3234720381</v>
      </c>
      <c r="F7" s="25" t="s">
        <v>32</v>
      </c>
      <c r="G7" s="25" t="s">
        <v>32</v>
      </c>
      <c r="H7" s="26"/>
      <c r="I7" s="2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customFormat="false" ht="15.75" hidden="false" customHeight="false" outlineLevel="0" collapsed="false">
      <c r="A8" s="27"/>
      <c r="B8" s="27"/>
      <c r="C8" s="27"/>
      <c r="D8" s="27"/>
      <c r="E8" s="28"/>
      <c r="F8" s="29"/>
      <c r="G8" s="30"/>
      <c r="H8" s="31" t="s">
        <v>15</v>
      </c>
      <c r="I8" s="2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customFormat="false" ht="15.75" hidden="false" customHeight="false" outlineLevel="0" collapsed="false">
      <c r="A9" s="32" t="s">
        <v>33</v>
      </c>
      <c r="B9" s="32"/>
      <c r="C9" s="33" t="s">
        <v>34</v>
      </c>
      <c r="D9" s="33"/>
      <c r="E9" s="33" t="s">
        <v>35</v>
      </c>
      <c r="F9" s="33"/>
      <c r="G9" s="34" t="s">
        <v>36</v>
      </c>
      <c r="H9" s="31"/>
      <c r="I9" s="2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customFormat="false" ht="15.75" hidden="false" customHeight="false" outlineLevel="0" collapsed="false">
      <c r="A10" s="35" t="n">
        <f aca="false">I16+I26</f>
        <v>0</v>
      </c>
      <c r="B10" s="35"/>
      <c r="C10" s="36" t="n">
        <f aca="false">C5-A10</f>
        <v>15323500</v>
      </c>
      <c r="D10" s="36"/>
      <c r="E10" s="37" t="n">
        <f aca="false">C10+G10</f>
        <v>15323500</v>
      </c>
      <c r="F10" s="37"/>
      <c r="G10" s="38"/>
      <c r="H10" s="39" t="n">
        <f aca="false">I23+I33</f>
        <v>0</v>
      </c>
      <c r="I10" s="2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customFormat="false" ht="15.75" hidden="false" customHeight="false" outlineLevel="0" collapsed="false">
      <c r="A11" s="35"/>
      <c r="B11" s="35"/>
      <c r="C11" s="36"/>
      <c r="D11" s="36"/>
      <c r="E11" s="37"/>
      <c r="F11" s="37"/>
      <c r="G11" s="38"/>
      <c r="H11" s="39"/>
      <c r="I11" s="2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customFormat="false" ht="15.75" hidden="false" customHeight="false" outlineLevel="0" collapsed="false">
      <c r="A12" s="40" t="s">
        <v>37</v>
      </c>
      <c r="B12" s="40"/>
      <c r="C12" s="40"/>
      <c r="D12" s="40"/>
      <c r="E12" s="41"/>
      <c r="F12" s="42"/>
      <c r="G12" s="42"/>
      <c r="H12" s="43"/>
      <c r="I12" s="2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customFormat="false" ht="15.75" hidden="false" customHeight="false" outlineLevel="0" collapsed="false">
      <c r="A13" s="44"/>
      <c r="B13" s="44"/>
      <c r="C13" s="44"/>
      <c r="D13" s="44"/>
      <c r="E13" s="44"/>
      <c r="F13" s="44"/>
      <c r="G13" s="44"/>
      <c r="H13" s="44"/>
      <c r="I13" s="44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customFormat="false" ht="15.75" hidden="false" customHeight="false" outlineLevel="0" collapsed="false">
      <c r="A14" s="44"/>
      <c r="B14" s="44"/>
      <c r="C14" s="44"/>
      <c r="D14" s="44"/>
      <c r="E14" s="44"/>
      <c r="F14" s="44"/>
      <c r="G14" s="44"/>
      <c r="H14" s="44"/>
      <c r="I14" s="44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customFormat="false" ht="15.75" hidden="false" customHeight="false" outlineLevel="0" collapsed="false">
      <c r="A15" s="45" t="s">
        <v>38</v>
      </c>
      <c r="B15" s="45" t="s">
        <v>39</v>
      </c>
      <c r="C15" s="45" t="s">
        <v>38</v>
      </c>
      <c r="D15" s="45" t="s">
        <v>39</v>
      </c>
      <c r="E15" s="45" t="s">
        <v>38</v>
      </c>
      <c r="F15" s="45" t="s">
        <v>39</v>
      </c>
      <c r="G15" s="45" t="s">
        <v>38</v>
      </c>
      <c r="H15" s="45" t="s">
        <v>39</v>
      </c>
      <c r="I15" s="46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customFormat="false" ht="15.75" hidden="false" customHeight="false" outlineLevel="0" collapsed="false">
      <c r="A16" s="47"/>
      <c r="B16" s="48"/>
      <c r="C16" s="47"/>
      <c r="D16" s="48"/>
      <c r="E16" s="47"/>
      <c r="F16" s="48"/>
      <c r="G16" s="47"/>
      <c r="H16" s="48"/>
      <c r="I16" s="49" t="n">
        <f aca="false">B22+D22+F22+H22</f>
        <v>0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customFormat="false" ht="15.75" hidden="false" customHeight="false" outlineLevel="0" collapsed="false">
      <c r="A17" s="47"/>
      <c r="B17" s="50"/>
      <c r="C17" s="47"/>
      <c r="D17" s="50"/>
      <c r="E17" s="47"/>
      <c r="F17" s="51"/>
      <c r="G17" s="47"/>
      <c r="H17" s="3"/>
      <c r="I17" s="49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customFormat="false" ht="15.75" hidden="false" customHeight="false" outlineLevel="0" collapsed="false">
      <c r="A18" s="47"/>
      <c r="B18" s="50"/>
      <c r="C18" s="47"/>
      <c r="D18" s="50"/>
      <c r="E18" s="47"/>
      <c r="F18" s="51"/>
      <c r="G18" s="47"/>
      <c r="H18" s="3"/>
      <c r="I18" s="49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customFormat="false" ht="15.75" hidden="false" customHeight="false" outlineLevel="0" collapsed="false">
      <c r="A19" s="52" t="n">
        <v>46114</v>
      </c>
      <c r="B19" s="50"/>
      <c r="C19" s="47"/>
      <c r="D19" s="48"/>
      <c r="E19" s="47"/>
      <c r="F19" s="53"/>
      <c r="G19" s="47"/>
      <c r="H19" s="54"/>
      <c r="I19" s="49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customFormat="false" ht="15.75" hidden="false" customHeight="false" outlineLevel="0" collapsed="false">
      <c r="A20" s="52" t="n">
        <v>46115</v>
      </c>
      <c r="B20" s="50"/>
      <c r="C20" s="47"/>
      <c r="D20" s="50"/>
      <c r="E20" s="47"/>
      <c r="F20" s="51"/>
      <c r="G20" s="47"/>
      <c r="H20" s="3"/>
      <c r="I20" s="49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customFormat="false" ht="15.75" hidden="false" customHeight="false" outlineLevel="0" collapsed="false">
      <c r="A21" s="52" t="n">
        <v>46116</v>
      </c>
      <c r="B21" s="50"/>
      <c r="C21" s="47"/>
      <c r="D21" s="50"/>
      <c r="E21" s="47"/>
      <c r="F21" s="51"/>
      <c r="G21" s="47"/>
      <c r="H21" s="3"/>
      <c r="I21" s="49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customFormat="false" ht="15.75" hidden="false" customHeight="false" outlineLevel="0" collapsed="false">
      <c r="A22" s="10"/>
      <c r="B22" s="55" t="n">
        <f aca="false">SUM(B16:B21)</f>
        <v>0</v>
      </c>
      <c r="C22" s="10"/>
      <c r="D22" s="55" t="n">
        <f aca="false">SUM(D16:D21)</f>
        <v>0</v>
      </c>
      <c r="E22" s="10"/>
      <c r="F22" s="55" t="n">
        <f aca="false">SUM(F16:F21)</f>
        <v>0</v>
      </c>
      <c r="G22" s="10"/>
      <c r="H22" s="55" t="n">
        <f aca="false">SUM(H16:H21)</f>
        <v>0</v>
      </c>
      <c r="I22" s="56" t="n">
        <v>1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customFormat="false" ht="15.75" hidden="false" customHeight="false" outlineLevel="0" collapsed="false">
      <c r="A23" s="57" t="s">
        <v>40</v>
      </c>
      <c r="B23" s="58"/>
      <c r="C23" s="57" t="s">
        <v>40</v>
      </c>
      <c r="D23" s="59"/>
      <c r="E23" s="60" t="s">
        <v>40</v>
      </c>
      <c r="F23" s="58"/>
      <c r="G23" s="57" t="s">
        <v>40</v>
      </c>
      <c r="H23" s="58"/>
      <c r="I23" s="61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customFormat="false" ht="15.75" hidden="false" customHeight="false" outlineLevel="0" collapsed="false">
      <c r="A24" s="44"/>
      <c r="B24" s="44"/>
      <c r="C24" s="44"/>
      <c r="D24" s="44"/>
      <c r="E24" s="44"/>
      <c r="F24" s="44"/>
      <c r="G24" s="44"/>
      <c r="H24" s="44"/>
      <c r="I24" s="44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customFormat="false" ht="15.75" hidden="false" customHeight="false" outlineLevel="0" collapsed="false">
      <c r="A25" s="45" t="s">
        <v>38</v>
      </c>
      <c r="B25" s="45" t="s">
        <v>39</v>
      </c>
      <c r="C25" s="45" t="s">
        <v>38</v>
      </c>
      <c r="D25" s="45" t="s">
        <v>39</v>
      </c>
      <c r="E25" s="45" t="s">
        <v>38</v>
      </c>
      <c r="F25" s="45" t="s">
        <v>39</v>
      </c>
      <c r="G25" s="45" t="s">
        <v>38</v>
      </c>
      <c r="H25" s="45" t="s">
        <v>39</v>
      </c>
      <c r="I25" s="46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customFormat="false" ht="15.75" hidden="false" customHeight="false" outlineLevel="0" collapsed="false">
      <c r="A26" s="47"/>
      <c r="B26" s="48"/>
      <c r="C26" s="47"/>
      <c r="D26" s="48"/>
      <c r="E26" s="47"/>
      <c r="F26" s="48"/>
      <c r="G26" s="47"/>
      <c r="H26" s="48"/>
      <c r="I26" s="49" t="n">
        <f aca="false">B32+D32+F32+H32</f>
        <v>0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customFormat="false" ht="15.75" hidden="false" customHeight="false" outlineLevel="0" collapsed="false">
      <c r="A27" s="47"/>
      <c r="B27" s="50"/>
      <c r="C27" s="47"/>
      <c r="D27" s="50"/>
      <c r="E27" s="47"/>
      <c r="F27" s="51"/>
      <c r="G27" s="47"/>
      <c r="H27" s="3"/>
      <c r="I27" s="49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customFormat="false" ht="15.75" hidden="false" customHeight="false" outlineLevel="0" collapsed="false">
      <c r="A28" s="47"/>
      <c r="B28" s="50"/>
      <c r="C28" s="47"/>
      <c r="D28" s="50"/>
      <c r="E28" s="47"/>
      <c r="F28" s="51"/>
      <c r="G28" s="47"/>
      <c r="H28" s="3"/>
      <c r="I28" s="49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customFormat="false" ht="15.75" hidden="false" customHeight="false" outlineLevel="0" collapsed="false">
      <c r="A29" s="52" t="n">
        <v>46114</v>
      </c>
      <c r="B29" s="50"/>
      <c r="C29" s="47"/>
      <c r="D29" s="48"/>
      <c r="E29" s="47"/>
      <c r="F29" s="53"/>
      <c r="G29" s="47"/>
      <c r="H29" s="54"/>
      <c r="I29" s="49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customFormat="false" ht="15.75" hidden="false" customHeight="false" outlineLevel="0" collapsed="false">
      <c r="A30" s="52" t="n">
        <v>46115</v>
      </c>
      <c r="B30" s="50"/>
      <c r="C30" s="47"/>
      <c r="D30" s="50"/>
      <c r="E30" s="47"/>
      <c r="F30" s="51"/>
      <c r="G30" s="47"/>
      <c r="H30" s="3"/>
      <c r="I30" s="49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customFormat="false" ht="15.75" hidden="false" customHeight="false" outlineLevel="0" collapsed="false">
      <c r="A31" s="52" t="n">
        <v>46116</v>
      </c>
      <c r="B31" s="50"/>
      <c r="C31" s="47"/>
      <c r="D31" s="50"/>
      <c r="E31" s="47"/>
      <c r="F31" s="51"/>
      <c r="G31" s="47"/>
      <c r="H31" s="3"/>
      <c r="I31" s="49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customFormat="false" ht="15.75" hidden="false" customHeight="false" outlineLevel="0" collapsed="false">
      <c r="A32" s="10"/>
      <c r="B32" s="55" t="n">
        <f aca="false">SUM(B26:B31)</f>
        <v>0</v>
      </c>
      <c r="C32" s="10"/>
      <c r="D32" s="55" t="n">
        <f aca="false">SUM(D26:D31)</f>
        <v>0</v>
      </c>
      <c r="E32" s="10"/>
      <c r="F32" s="55" t="n">
        <f aca="false">SUM(F26:F31)</f>
        <v>0</v>
      </c>
      <c r="G32" s="10"/>
      <c r="H32" s="55" t="n">
        <f aca="false">SUM(H26:H31)</f>
        <v>0</v>
      </c>
      <c r="I32" s="56" t="n">
        <v>2</v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customFormat="false" ht="15.75" hidden="false" customHeight="false" outlineLevel="0" collapsed="false">
      <c r="A33" s="57" t="s">
        <v>40</v>
      </c>
      <c r="B33" s="58"/>
      <c r="C33" s="57" t="s">
        <v>40</v>
      </c>
      <c r="D33" s="59"/>
      <c r="E33" s="60" t="s">
        <v>40</v>
      </c>
      <c r="F33" s="58"/>
      <c r="G33" s="57" t="s">
        <v>40</v>
      </c>
      <c r="H33" s="58"/>
      <c r="I33" s="61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customFormat="false" ht="15.75" hidden="false" customHeight="false" outlineLevel="0" collapsed="false">
      <c r="A34" s="44"/>
      <c r="B34" s="44"/>
      <c r="C34" s="44"/>
      <c r="D34" s="44"/>
      <c r="E34" s="44"/>
      <c r="F34" s="44"/>
      <c r="G34" s="44"/>
      <c r="H34" s="44"/>
      <c r="I34" s="44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</sheetData>
  <mergeCells count="16">
    <mergeCell ref="I1:I12"/>
    <mergeCell ref="H8:H9"/>
    <mergeCell ref="A9:B9"/>
    <mergeCell ref="C9:D9"/>
    <mergeCell ref="E9:F9"/>
    <mergeCell ref="A10:B11"/>
    <mergeCell ref="C10:D11"/>
    <mergeCell ref="E10:F11"/>
    <mergeCell ref="G10:G11"/>
    <mergeCell ref="H10:H11"/>
    <mergeCell ref="A12:D12"/>
    <mergeCell ref="A13:I14"/>
    <mergeCell ref="I16:I21"/>
    <mergeCell ref="A24:I24"/>
    <mergeCell ref="I26:I31"/>
    <mergeCell ref="A34:I34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es-US</dc:language>
  <cp:lastModifiedBy/>
  <dcterms:modified xsi:type="dcterms:W3CDTF">2026-06-05T19:53:23Z</dcterms:modified>
  <cp:revision>1</cp:revision>
  <dc:subject/>
  <dc:title/>
</cp:coreProperties>
</file>