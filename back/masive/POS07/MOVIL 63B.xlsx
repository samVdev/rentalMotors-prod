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<sst xmlns="http://schemas.openxmlformats.org/spreadsheetml/2006/main" count="68" uniqueCount="50">
  <si>
    <t>PAGOS</t>
  </si>
  <si>
    <t>MOTO</t>
  </si>
  <si>
    <t>MODELO</t>
  </si>
  <si>
    <t>MARCA</t>
  </si>
  <si>
    <t>PLACA</t>
  </si>
  <si>
    <t>MOVIL</t>
  </si>
  <si>
    <t xml:space="preserve">PRECIO </t>
  </si>
  <si>
    <t>INICIAL</t>
  </si>
  <si>
    <t>A219782G</t>
  </si>
  <si>
    <t>BERA</t>
  </si>
  <si>
    <t>BRS</t>
  </si>
  <si>
    <t>FPW64I</t>
  </si>
  <si>
    <t>63B</t>
  </si>
  <si>
    <t>COSTO -INICIAL</t>
  </si>
  <si>
    <t>INTERES</t>
  </si>
  <si>
    <t>COSTO NETO</t>
  </si>
  <si>
    <t>MESES</t>
  </si>
  <si>
    <t>MESUAL</t>
  </si>
  <si>
    <t xml:space="preserve">QUINCENAL </t>
  </si>
  <si>
    <t>SEMANAL</t>
  </si>
  <si>
    <t xml:space="preserve">DIARIO </t>
  </si>
  <si>
    <t>NOMBRES</t>
  </si>
  <si>
    <t>CEDULA</t>
  </si>
  <si>
    <t xml:space="preserve">NACIONALIDAD </t>
  </si>
  <si>
    <t>NUMERO</t>
  </si>
  <si>
    <t>Traspaso de propiedad</t>
  </si>
  <si>
    <t xml:space="preserve">DEUDA DE SEMANA </t>
  </si>
  <si>
    <t>EDUARDO ENRRIQUE</t>
  </si>
  <si>
    <t>BETANCOUR TOVAR</t>
  </si>
  <si>
    <t>1,124,506,495</t>
  </si>
  <si>
    <t>COLOMBIA</t>
  </si>
  <si>
    <t>SOAT</t>
  </si>
  <si>
    <t>FIRMA</t>
  </si>
  <si>
    <t>SALDO ACTUAL PAGADO</t>
  </si>
  <si>
    <t>DEUDA  A PAGAR</t>
  </si>
  <si>
    <t>DEUDA TOTAL.</t>
  </si>
  <si>
    <t xml:space="preserve">DEUDA ADQUIRIDA </t>
  </si>
  <si>
    <t>RENTAL MOTORS S.A.S</t>
  </si>
  <si>
    <t>FECHA</t>
  </si>
  <si>
    <t>ABONO</t>
  </si>
  <si>
    <t>entrega de moto</t>
  </si>
  <si>
    <t>REF.</t>
  </si>
  <si>
    <t>EFECTIVO</t>
  </si>
  <si>
    <t>M17623225</t>
  </si>
  <si>
    <t>M20493460</t>
  </si>
  <si>
    <t>M18300951</t>
  </si>
  <si>
    <t>M23891066</t>
  </si>
  <si>
    <t>M27719550</t>
  </si>
  <si>
    <t>M23565668</t>
  </si>
  <si>
    <t>M22201348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</si>
</sst>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 $]#,##0"/>
    <numFmt numFmtId="165" formatCode="[$$]#,##0.00"/>
    <numFmt numFmtId="166" formatCode="dd/mm/yyyy"/>
  </numFmts>
  <fonts count="26">
    <font>
      <sz val="10.0"/>
      <color rgb="FF000000"/>
      <name val="Arial"/>
      <scheme val="minor"/>
    </font>
    <font>
      <b/>
      <sz val="14.0"/>
      <color rgb="FFFFFFFF"/>
      <name val="Arial"/>
    </font>
    <font>
      <color theme="1"/>
      <name val="Arial"/>
    </font>
    <font>
      <b/>
      <sz val="12.0"/>
      <color theme="1"/>
      <name val="Nunito"/>
    </font>
    <font>
      <b/>
      <sz val="11.0"/>
      <color theme="1"/>
      <name val="Nunito"/>
    </font>
    <font>
      <b/>
      <color theme="1"/>
      <name val="Arial"/>
    </font>
    <font>
      <b/>
      <sz val="12.0"/>
      <color rgb="FFFFFFFF"/>
      <name val="Nunito"/>
    </font>
    <font>
      <b/>
      <sz val="13.0"/>
      <color rgb="FF000000"/>
      <name val="Nunito"/>
    </font>
    <font>
      <b/>
      <sz val="13.0"/>
      <color rgb="FF000000"/>
      <name val="Arial"/>
    </font>
    <font>
      <b/>
      <sz val="11.0"/>
      <color rgb="FFFFFFFF"/>
      <name val="Arial"/>
    </font>
    <font>
      <b/>
      <sz val="11.0"/>
      <color rgb="FF0077D9"/>
      <name val="Arial"/>
    </font>
    <font>
      <b/>
      <sz val="12.0"/>
      <color theme="1"/>
      <name val="Arial"/>
    </font>
    <font>
      <b/>
      <sz val="14.0"/>
      <color rgb="FF0077D9"/>
      <name val="Arial"/>
    </font>
    <font>
      <b/>
      <color rgb="FFFFFFFF"/>
      <name val="Arial"/>
    </font>
    <font>
      <sz val="25.0"/>
      <color theme="1"/>
      <name val="Arial"/>
    </font>
    <font>
      <color rgb="FFFFFFFF"/>
      <name val="Arial"/>
    </font>
    <font/>
    <font>
      <b/>
      <sz val="25.0"/>
      <color rgb="FFFFFFFF"/>
      <name val="Arial"/>
    </font>
    <font>
      <b/>
      <sz val="24.0"/>
      <color rgb="FFFFFFFF"/>
      <name val="Arial"/>
    </font>
    <font>
      <sz val="23.0"/>
      <color theme="1"/>
      <name val="Arial"/>
    </font>
    <font>
      <sz val="11.0"/>
      <color theme="1"/>
      <name val="Arial"/>
    </font>
    <font>
      <b/>
      <sz val="20.0"/>
      <color theme="1"/>
      <name val="Arial"/>
    </font>
    <font>
      <b/>
      <sz val="23.0"/>
      <color rgb="FFFFFFFF"/>
      <name val="Arial"/>
    </font>
    <font>
      <b/>
      <sz val="11.0"/>
      <color theme="1"/>
      <name val="Arial"/>
    </font>
    <font>
      <b/>
      <sz val="13.0"/>
      <color rgb="FFFFFFFF"/>
      <name val="Arial"/>
    </font>
    <font>
      <b/>
      <color rgb="FF46BDC6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0A99D6"/>
        <bgColor rgb="FF0A99D6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3D85C6"/>
        <bgColor rgb="FF3D85C6"/>
      </patternFill>
    </fill>
    <fill>
      <patternFill patternType="solid">
        <fgColor rgb="FFF2F2F2"/>
        <bgColor rgb="FFF2F2F2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46BDC6"/>
        <bgColor rgb="FF46BDC6"/>
      </patternFill>
    </fill>
    <fill>
      <patternFill patternType="solid">
        <fgColor rgb="FFEA4335"/>
        <bgColor rgb="FFEA4335"/>
      </patternFill>
    </fill>
    <fill>
      <patternFill patternType="solid">
        <fgColor rgb="FF1155CC"/>
        <bgColor rgb="FF1155CC"/>
      </patternFill>
    </fill>
    <fill>
      <patternFill patternType="solid">
        <fgColor rgb="FF4285F4"/>
        <bgColor rgb="FF4285F4"/>
      </patternFill>
    </fill>
    <fill>
      <patternFill patternType="solid">
        <fgColor rgb="FF134F5C"/>
        <bgColor rgb="FF134F5C"/>
      </patternFill>
    </fill>
    <fill>
      <patternFill patternType="solid">
        <fgColor rgb="FFFFFFFF"/>
        <bgColor rgb="FFFFFFFF"/>
      </patternFill>
    </fill>
    <fill>
      <patternFill patternType="solid">
        <fgColor rgb="FFFF6D01"/>
        <bgColor rgb="FFFF6D01"/>
      </patternFill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285F4"/>
      </left>
    </border>
    <border>
      <right style="thin">
        <color rgb="FF4285F4"/>
      </right>
      <top style="thin">
        <color rgb="FF4285F4"/>
      </top>
    </border>
    <border>
      <right style="thin">
        <color rgb="FF4285F4"/>
      </right>
    </border>
    <border>
      <right style="thin">
        <color rgb="FF4285F4"/>
      </right>
      <bottom style="thin">
        <color rgb="FF4285F4"/>
      </bottom>
    </border>
    <border>
      <left style="thin">
        <color rgb="FF4285F4"/>
      </left>
      <bottom style="thin">
        <color rgb="FF4285F4"/>
      </bottom>
    </border>
    <border>
      <bottom style="thin">
        <color rgb="FF4285F4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1" fillId="3" fontId="3" numFmtId="1" xfId="0" applyAlignment="1" applyBorder="1" applyFont="1" applyNumberFormat="1">
      <alignment horizontal="center" readingOrder="0" vertical="bottom"/>
    </xf>
    <xf borderId="1" fillId="3" fontId="4" numFmtId="1" xfId="0" applyAlignment="1" applyBorder="1" applyFont="1" applyNumberFormat="1">
      <alignment horizontal="center" vertical="bottom"/>
    </xf>
    <xf borderId="1" fillId="3" fontId="4" numFmtId="0" xfId="0" applyAlignment="1" applyBorder="1" applyFont="1">
      <alignment horizontal="center" readingOrder="0" vertical="bottom"/>
    </xf>
    <xf borderId="1" fillId="3" fontId="5" numFmtId="0" xfId="0" applyAlignment="1" applyBorder="1" applyFont="1">
      <alignment horizontal="center" readingOrder="0" vertical="bottom"/>
    </xf>
    <xf borderId="1" fillId="3" fontId="4" numFmtId="49" xfId="0" applyAlignment="1" applyBorder="1" applyFont="1" applyNumberFormat="1">
      <alignment horizontal="center" readingOrder="0" vertical="bottom"/>
    </xf>
    <xf borderId="1" fillId="3" fontId="4" numFmtId="165" xfId="0" applyAlignment="1" applyBorder="1" applyFont="1" applyNumberFormat="1">
      <alignment horizontal="center" readingOrder="0" vertical="bottom"/>
    </xf>
    <xf borderId="1" fillId="3" fontId="4" numFmtId="165" xfId="0" applyAlignment="1" applyBorder="1" applyFont="1" applyNumberFormat="1">
      <alignment horizontal="center" vertical="bottom"/>
    </xf>
    <xf borderId="0" fillId="4" fontId="2" numFmtId="0" xfId="0" applyAlignment="1" applyFill="1" applyFont="1">
      <alignment vertical="bottom"/>
    </xf>
    <xf borderId="0" fillId="5" fontId="6" numFmtId="0" xfId="0" applyAlignment="1" applyFill="1" applyFont="1">
      <alignment horizontal="center" shrinkToFit="0" vertical="bottom" wrapText="1"/>
    </xf>
    <xf borderId="0" fillId="5" fontId="6" numFmtId="0" xfId="0" applyAlignment="1" applyFont="1">
      <alignment horizontal="center" vertical="bottom"/>
    </xf>
    <xf borderId="1" fillId="3" fontId="7" numFmtId="165" xfId="0" applyAlignment="1" applyBorder="1" applyFont="1" applyNumberFormat="1">
      <alignment horizontal="center" vertical="bottom"/>
    </xf>
    <xf borderId="1" fillId="3" fontId="7" numFmtId="165" xfId="0" applyAlignment="1" applyBorder="1" applyFont="1" applyNumberFormat="1">
      <alignment horizontal="center" readingOrder="0" vertical="bottom"/>
    </xf>
    <xf borderId="1" fillId="3" fontId="7" numFmtId="4" xfId="0" applyAlignment="1" applyBorder="1" applyFont="1" applyNumberFormat="1">
      <alignment horizontal="center" vertical="bottom"/>
    </xf>
    <xf borderId="1" fillId="3" fontId="7" numFmtId="1" xfId="0" applyAlignment="1" applyBorder="1" applyFont="1" applyNumberFormat="1">
      <alignment horizontal="center" readingOrder="0" vertical="bottom"/>
    </xf>
    <xf borderId="2" fillId="3" fontId="7" numFmtId="165" xfId="0" applyAlignment="1" applyBorder="1" applyFont="1" applyNumberFormat="1">
      <alignment horizontal="center" vertical="bottom"/>
    </xf>
    <xf borderId="2" fillId="3" fontId="8" numFmtId="165" xfId="0" applyAlignment="1" applyBorder="1" applyFont="1" applyNumberFormat="1">
      <alignment horizontal="center" vertical="bottom"/>
    </xf>
    <xf borderId="2" fillId="6" fontId="7" numFmtId="165" xfId="0" applyAlignment="1" applyBorder="1" applyFill="1" applyFont="1" applyNumberFormat="1">
      <alignment horizontal="center" vertical="bottom"/>
    </xf>
    <xf borderId="0" fillId="7" fontId="9" numFmtId="0" xfId="0" applyAlignment="1" applyFill="1" applyFont="1">
      <alignment horizontal="center" vertical="bottom"/>
    </xf>
    <xf borderId="0" fillId="8" fontId="10" numFmtId="0" xfId="0" applyAlignment="1" applyFill="1" applyFont="1">
      <alignment horizontal="center" shrinkToFit="0" vertical="bottom" wrapText="1"/>
    </xf>
    <xf borderId="0" fillId="9" fontId="5" numFmtId="0" xfId="0" applyAlignment="1" applyFill="1" applyFont="1">
      <alignment horizontal="center" readingOrder="0" vertical="bottom"/>
    </xf>
    <xf borderId="0" fillId="9" fontId="11" numFmtId="3" xfId="0" applyAlignment="1" applyFont="1" applyNumberFormat="1">
      <alignment horizontal="center" readingOrder="0" vertical="bottom"/>
    </xf>
    <xf borderId="0" fillId="9" fontId="5" numFmtId="0" xfId="0" applyAlignment="1" applyFont="1">
      <alignment horizontal="center" vertical="bottom"/>
    </xf>
    <xf borderId="0" fillId="8" fontId="12" numFmtId="0" xfId="0" applyAlignment="1" applyFont="1">
      <alignment horizontal="center" shrinkToFit="0" vertical="bottom" wrapText="1"/>
    </xf>
    <xf borderId="0" fillId="9" fontId="13" numFmtId="0" xfId="0" applyAlignment="1" applyFont="1">
      <alignment horizontal="center" vertical="bottom"/>
    </xf>
    <xf borderId="0" fillId="10" fontId="2" numFmtId="164" xfId="0" applyAlignment="1" applyFill="1" applyFont="1" applyNumberFormat="1">
      <alignment vertical="bottom"/>
    </xf>
    <xf borderId="0" fillId="11" fontId="2" numFmtId="0" xfId="0" applyAlignment="1" applyFill="1" applyFont="1">
      <alignment vertical="bottom"/>
    </xf>
    <xf borderId="3" fillId="11" fontId="2" numFmtId="0" xfId="0" applyAlignment="1" applyBorder="1" applyFont="1">
      <alignment vertical="bottom"/>
    </xf>
    <xf borderId="3" fillId="11" fontId="2" numFmtId="164" xfId="0" applyAlignment="1" applyBorder="1" applyFont="1" applyNumberFormat="1">
      <alignment vertical="bottom"/>
    </xf>
    <xf borderId="4" fillId="11" fontId="14" numFmtId="0" xfId="0" applyAlignment="1" applyBorder="1" applyFont="1">
      <alignment horizontal="center" vertical="bottom"/>
    </xf>
    <xf borderId="0" fillId="5" fontId="13" numFmtId="0" xfId="0" applyAlignment="1" applyFont="1">
      <alignment horizontal="center" vertical="bottom"/>
    </xf>
    <xf borderId="0" fillId="5" fontId="15" numFmtId="0" xfId="0" applyAlignment="1" applyFont="1">
      <alignment horizontal="center" vertical="bottom"/>
    </xf>
    <xf borderId="5" fillId="0" fontId="16" numFmtId="0" xfId="0" applyBorder="1" applyFont="1"/>
    <xf borderId="0" fillId="11" fontId="14" numFmtId="3" xfId="0" applyAlignment="1" applyFont="1" applyNumberFormat="1">
      <alignment horizontal="center" vertical="bottom"/>
    </xf>
    <xf borderId="0" fillId="12" fontId="17" numFmtId="4" xfId="0" applyAlignment="1" applyFill="1" applyFont="1" applyNumberFormat="1">
      <alignment horizontal="center" vertical="bottom"/>
    </xf>
    <xf borderId="0" fillId="10" fontId="18" numFmtId="4" xfId="0" applyAlignment="1" applyFont="1" applyNumberFormat="1">
      <alignment horizontal="center" vertical="bottom"/>
    </xf>
    <xf borderId="0" fillId="13" fontId="2" numFmtId="164" xfId="0" applyAlignment="1" applyFill="1" applyFont="1" applyNumberFormat="1">
      <alignment vertical="bottom"/>
    </xf>
    <xf borderId="5" fillId="11" fontId="19" numFmtId="0" xfId="0" applyAlignment="1" applyBorder="1" applyFont="1">
      <alignment horizontal="center" vertical="bottom"/>
    </xf>
    <xf borderId="6" fillId="0" fontId="16" numFmtId="0" xfId="0" applyBorder="1" applyFont="1"/>
    <xf borderId="0" fillId="14" fontId="13" numFmtId="0" xfId="0" applyAlignment="1" applyFill="1" applyFont="1">
      <alignment vertical="bottom"/>
    </xf>
    <xf borderId="7" fillId="0" fontId="2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0" fillId="15" fontId="13" numFmtId="0" xfId="0" applyAlignment="1" applyFill="1" applyFont="1">
      <alignment horizontal="center" vertical="bottom"/>
    </xf>
    <xf borderId="0" fillId="15" fontId="2" numFmtId="0" xfId="0" applyAlignment="1" applyFont="1">
      <alignment vertical="bottom"/>
    </xf>
    <xf borderId="0" fillId="11" fontId="2" numFmtId="166" xfId="0" applyAlignment="1" applyFont="1" applyNumberFormat="1">
      <alignment vertical="bottom"/>
    </xf>
    <xf borderId="0" fillId="16" fontId="2" numFmtId="164" xfId="0" applyAlignment="1" applyFill="1" applyFont="1" applyNumberFormat="1">
      <alignment vertical="bottom"/>
    </xf>
    <xf borderId="0" fillId="11" fontId="20" numFmtId="166" xfId="0" applyAlignment="1" applyFont="1" applyNumberFormat="1">
      <alignment horizontal="center" vertical="bottom"/>
    </xf>
    <xf borderId="0" fillId="16" fontId="21" numFmtId="164" xfId="0" applyAlignment="1" applyFont="1" applyNumberFormat="1">
      <alignment horizontal="center" readingOrder="0" textRotation="45" vertical="center"/>
    </xf>
    <xf borderId="0" fillId="11" fontId="22" numFmtId="164" xfId="0" applyAlignment="1" applyFont="1" applyNumberFormat="1">
      <alignment horizontal="center" vertical="bottom"/>
    </xf>
    <xf borderId="0" fillId="0" fontId="23" numFmtId="164" xfId="0" applyAlignment="1" applyFont="1" applyNumberFormat="1">
      <alignment horizontal="center" readingOrder="0" vertical="bottom"/>
    </xf>
    <xf borderId="0" fillId="0" fontId="11" numFmtId="164" xfId="0" applyAlignment="1" applyFont="1" applyNumberFormat="1">
      <alignment horizontal="center" vertical="bottom"/>
    </xf>
    <xf borderId="0" fillId="0" fontId="11" numFmtId="164" xfId="0" applyAlignment="1" applyFont="1" applyNumberFormat="1">
      <alignment horizontal="center" readingOrder="0" vertical="bottom"/>
    </xf>
    <xf borderId="0" fillId="4" fontId="24" numFmtId="164" xfId="0" applyAlignment="1" applyFont="1" applyNumberFormat="1">
      <alignment horizontal="center" vertical="bottom"/>
    </xf>
    <xf borderId="0" fillId="4" fontId="24" numFmtId="0" xfId="0" applyAlignment="1" applyFont="1">
      <alignment horizontal="center" vertical="bottom"/>
    </xf>
    <xf borderId="0" fillId="11" fontId="2" numFmtId="0" xfId="0" applyAlignment="1" applyFont="1">
      <alignment horizontal="center" vertical="bottom"/>
    </xf>
    <xf borderId="0" fillId="17" fontId="23" numFmtId="0" xfId="0" applyAlignment="1" applyFill="1" applyFont="1">
      <alignment horizontal="center" readingOrder="0" vertical="bottom"/>
    </xf>
    <xf borderId="0" fillId="11" fontId="25" numFmtId="0" xfId="0" applyAlignment="1" applyFont="1">
      <alignment horizontal="center" readingOrder="0" vertical="bottom"/>
    </xf>
    <xf borderId="0" fillId="11" fontId="20" numFmtId="166" xfId="0" applyAlignment="1" applyFont="1" applyNumberFormat="1">
      <alignment horizontal="center" readingOrder="0" vertical="bottom"/>
    </xf>
    <xf borderId="0" fillId="4" fontId="24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1600200</xdr:colOff>
      <xdr:row>0</xdr:row>
      <xdr:rowOff>0</xdr:rowOff>
    </xdr:from>
    <xdr:ext cx="2286000" cy="26003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2.63" defaultRowHeight="15.75"/>
  <cols>
    <col customWidth="1" min="1" max="1" width="21.38"/>
    <col customWidth="1" min="2" max="2" width="18.0"/>
    <col customWidth="1" min="3" max="3" width="20.75"/>
    <col customWidth="1" min="4" max="4" width="21.38"/>
    <col customWidth="1" min="5" max="5" width="18.5"/>
    <col customWidth="1" min="6" max="6" width="21.0"/>
    <col customWidth="1" min="7" max="7" width="21.75"/>
    <col customWidth="1" min="8" max="8" width="21.13"/>
    <col customWidth="1" min="9" max="9" width="2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5" t="s">
        <v>9</v>
      </c>
      <c r="C2" s="6">
        <v>2027.0</v>
      </c>
      <c r="D2" s="7" t="s">
        <v>10</v>
      </c>
      <c r="E2" s="8" t="s">
        <v>11</v>
      </c>
      <c r="F2" s="9" t="s">
        <v>12</v>
      </c>
      <c r="G2" s="10">
        <v>6000000.0</v>
      </c>
      <c r="H2" s="11">
        <v>800000.0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2"/>
      <c r="B3" s="12"/>
      <c r="C3" s="12"/>
      <c r="D3" s="12"/>
      <c r="E3" s="12"/>
      <c r="F3" s="12"/>
      <c r="G3" s="12"/>
      <c r="H3" s="1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3" t="s">
        <v>13</v>
      </c>
      <c r="B4" s="14" t="s">
        <v>14</v>
      </c>
      <c r="C4" s="14" t="s">
        <v>15</v>
      </c>
      <c r="D4" s="14" t="s">
        <v>16</v>
      </c>
      <c r="E4" s="14" t="s">
        <v>17</v>
      </c>
      <c r="F4" s="14" t="s">
        <v>18</v>
      </c>
      <c r="G4" s="14" t="s">
        <v>19</v>
      </c>
      <c r="H4" s="14" t="s">
        <v>20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5">
        <f>G2-H2</f>
        <v>5200000</v>
      </c>
      <c r="B5" s="16">
        <v>3.179</v>
      </c>
      <c r="C5" s="17">
        <f>A5*B5</f>
        <v>16530800</v>
      </c>
      <c r="D5" s="18">
        <v>26.0</v>
      </c>
      <c r="E5" s="19">
        <f>C5/D5</f>
        <v>635800</v>
      </c>
      <c r="F5" s="20">
        <f>E5/2</f>
        <v>317900</v>
      </c>
      <c r="G5" s="21">
        <f>E5/4</f>
        <v>158950</v>
      </c>
      <c r="H5" s="19">
        <f>G5/6</f>
        <v>26491.66667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2" t="s">
        <v>21</v>
      </c>
      <c r="B6" s="22"/>
      <c r="C6" s="22" t="s">
        <v>22</v>
      </c>
      <c r="D6" s="22" t="s">
        <v>23</v>
      </c>
      <c r="E6" s="22" t="s">
        <v>24</v>
      </c>
      <c r="F6" s="3"/>
      <c r="G6" s="23" t="s">
        <v>25</v>
      </c>
      <c r="H6" s="23" t="s">
        <v>26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4" t="s">
        <v>27</v>
      </c>
      <c r="B7" s="24" t="s">
        <v>28</v>
      </c>
      <c r="C7" s="25" t="s">
        <v>29</v>
      </c>
      <c r="D7" s="26" t="s">
        <v>30</v>
      </c>
      <c r="E7" s="24">
        <v>3.150175612E9</v>
      </c>
      <c r="F7" s="27" t="s">
        <v>31</v>
      </c>
      <c r="G7" s="28" t="s">
        <v>32</v>
      </c>
      <c r="H7" s="2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0"/>
      <c r="B8" s="30"/>
      <c r="C8" s="30"/>
      <c r="D8" s="30"/>
      <c r="E8" s="31"/>
      <c r="F8" s="32"/>
      <c r="G8" s="3"/>
      <c r="H8" s="33" t="s">
        <v>16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4" t="s">
        <v>33</v>
      </c>
      <c r="C9" s="35" t="s">
        <v>34</v>
      </c>
      <c r="E9" s="35" t="s">
        <v>35</v>
      </c>
      <c r="G9" s="35" t="s">
        <v>36</v>
      </c>
      <c r="H9" s="3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7">
        <f>I16+I25+I35</f>
        <v>1325000</v>
      </c>
      <c r="C10" s="38">
        <f>C5-A10</f>
        <v>15205800</v>
      </c>
      <c r="E10" s="39">
        <f>C10+G10</f>
        <v>15205800</v>
      </c>
      <c r="G10" s="40"/>
      <c r="H10" s="41">
        <f>I23+I32+I42</f>
        <v>2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H11" s="4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3" t="s">
        <v>37</v>
      </c>
      <c r="E12" s="44"/>
      <c r="F12" s="45"/>
      <c r="G12" s="45"/>
      <c r="H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6" t="s">
        <v>38</v>
      </c>
      <c r="B15" s="46" t="s">
        <v>39</v>
      </c>
      <c r="C15" s="46" t="s">
        <v>38</v>
      </c>
      <c r="D15" s="46" t="s">
        <v>39</v>
      </c>
      <c r="E15" s="46" t="s">
        <v>38</v>
      </c>
      <c r="F15" s="46" t="s">
        <v>39</v>
      </c>
      <c r="G15" s="46" t="s">
        <v>38</v>
      </c>
      <c r="H15" s="46" t="s">
        <v>39</v>
      </c>
      <c r="I15" s="47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8"/>
      <c r="B16" s="49"/>
      <c r="C16" s="50">
        <v>46118.0</v>
      </c>
      <c r="D16" s="51">
        <v>159000.0</v>
      </c>
      <c r="E16" s="50">
        <v>46125.0</v>
      </c>
      <c r="F16" s="51">
        <v>159000.0</v>
      </c>
      <c r="G16" s="50">
        <v>46132.0</v>
      </c>
      <c r="H16" s="51">
        <v>159000.0</v>
      </c>
      <c r="I16" s="52">
        <f>B22+D22+F22+H22</f>
        <v>530000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8"/>
      <c r="B17" s="2"/>
      <c r="C17" s="50">
        <v>46119.0</v>
      </c>
      <c r="E17" s="50">
        <v>46126.0</v>
      </c>
      <c r="G17" s="50">
        <v>46133.0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8"/>
      <c r="B18" s="2"/>
      <c r="C18" s="50">
        <v>46120.0</v>
      </c>
      <c r="E18" s="50">
        <v>46127.0</v>
      </c>
      <c r="G18" s="50">
        <v>46134.0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0">
        <v>46114.0</v>
      </c>
      <c r="B19" s="53" t="s">
        <v>40</v>
      </c>
      <c r="C19" s="50">
        <v>46121.0</v>
      </c>
      <c r="E19" s="50">
        <v>46128.0</v>
      </c>
      <c r="G19" s="50">
        <v>46135.0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0">
        <v>46115.0</v>
      </c>
      <c r="B20" s="54"/>
      <c r="C20" s="50">
        <v>46122.0</v>
      </c>
      <c r="E20" s="50">
        <v>46129.0</v>
      </c>
      <c r="G20" s="50">
        <v>46136.0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0">
        <v>46116.0</v>
      </c>
      <c r="B21" s="55">
        <v>53000.0</v>
      </c>
      <c r="C21" s="50">
        <v>46123.0</v>
      </c>
      <c r="E21" s="50">
        <v>46130.0</v>
      </c>
      <c r="G21" s="50">
        <v>46137.0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2"/>
      <c r="B22" s="56">
        <f>SUM(B16:B21)</f>
        <v>53000</v>
      </c>
      <c r="C22" s="12"/>
      <c r="D22" s="56">
        <f>SUM(D16:D21)</f>
        <v>159000</v>
      </c>
      <c r="E22" s="12"/>
      <c r="F22" s="56">
        <f>SUM(F16:F21)</f>
        <v>159000</v>
      </c>
      <c r="G22" s="12"/>
      <c r="H22" s="56">
        <f>SUM(H16:H21)</f>
        <v>159000</v>
      </c>
      <c r="I22" s="57">
        <v>1.0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58" t="s">
        <v>41</v>
      </c>
      <c r="B23" s="59" t="s">
        <v>42</v>
      </c>
      <c r="C23" s="58" t="s">
        <v>41</v>
      </c>
      <c r="D23" s="59" t="s">
        <v>43</v>
      </c>
      <c r="E23" s="58" t="s">
        <v>41</v>
      </c>
      <c r="F23" s="59" t="s">
        <v>44</v>
      </c>
      <c r="G23" s="58" t="s">
        <v>41</v>
      </c>
      <c r="H23" s="59" t="s">
        <v>45</v>
      </c>
      <c r="I23" s="60">
        <v>1.0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2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61">
        <v>46139.0</v>
      </c>
      <c r="B25" s="51">
        <v>159000.0</v>
      </c>
      <c r="C25" s="61">
        <v>46146.0</v>
      </c>
      <c r="D25" s="51">
        <v>159000.0</v>
      </c>
      <c r="E25" s="61">
        <v>46153.0</v>
      </c>
      <c r="F25" s="51">
        <v>159000.0</v>
      </c>
      <c r="G25" s="61">
        <v>46160.0</v>
      </c>
      <c r="H25" s="51">
        <v>159000.0</v>
      </c>
      <c r="I25" s="52">
        <f>B31+D31+F31+H31</f>
        <v>636000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61">
        <v>46140.0</v>
      </c>
      <c r="C26" s="61">
        <v>46147.0</v>
      </c>
      <c r="E26" s="61">
        <v>46154.0</v>
      </c>
      <c r="G26" s="61">
        <v>46161.0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61">
        <v>46141.0</v>
      </c>
      <c r="C27" s="61">
        <v>46148.0</v>
      </c>
      <c r="E27" s="61">
        <v>46155.0</v>
      </c>
      <c r="G27" s="61">
        <v>46162.0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61">
        <v>46142.0</v>
      </c>
      <c r="C28" s="61">
        <v>46149.0</v>
      </c>
      <c r="E28" s="61">
        <v>46156.0</v>
      </c>
      <c r="G28" s="61">
        <v>46163.0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61">
        <v>46143.0</v>
      </c>
      <c r="C29" s="61">
        <v>46150.0</v>
      </c>
      <c r="E29" s="61">
        <v>46157.0</v>
      </c>
      <c r="G29" s="61">
        <v>46164.0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61">
        <v>46144.0</v>
      </c>
      <c r="C30" s="61">
        <v>46151.0</v>
      </c>
      <c r="E30" s="61">
        <v>46158.0</v>
      </c>
      <c r="G30" s="61">
        <v>46165.0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2"/>
      <c r="B31" s="56">
        <f>SUM(B25:B30)</f>
        <v>159000</v>
      </c>
      <c r="C31" s="12"/>
      <c r="D31" s="56">
        <f>SUM(D25:D30)</f>
        <v>159000</v>
      </c>
      <c r="E31" s="12"/>
      <c r="F31" s="56">
        <f>SUM(F25:F30)</f>
        <v>159000</v>
      </c>
      <c r="G31" s="12"/>
      <c r="H31" s="56">
        <f>SUM(H25:H30)</f>
        <v>159000</v>
      </c>
      <c r="I31" s="62">
        <v>2.0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58" t="s">
        <v>41</v>
      </c>
      <c r="B32" s="59" t="s">
        <v>46</v>
      </c>
      <c r="C32" s="58" t="s">
        <v>41</v>
      </c>
      <c r="D32" s="59" t="s">
        <v>47</v>
      </c>
      <c r="E32" s="58" t="s">
        <v>41</v>
      </c>
      <c r="F32" s="59" t="s">
        <v>48</v>
      </c>
      <c r="G32" s="58" t="s">
        <v>41</v>
      </c>
      <c r="H32" s="59" t="s">
        <v>49</v>
      </c>
      <c r="I32" s="60">
        <v>1.0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2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2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61">
        <v>46167.0</v>
      </c>
      <c r="B35" s="51">
        <v>159000.0</v>
      </c>
      <c r="C35" s="61">
        <v>46174.0</v>
      </c>
      <c r="D35" s="51"/>
      <c r="E35" s="61">
        <v>46181.0</v>
      </c>
      <c r="F35" s="51"/>
      <c r="G35" s="61">
        <v>46188.0</v>
      </c>
      <c r="H35" s="51"/>
      <c r="I35" s="52">
        <f>B41+D41+F41+H41</f>
        <v>159000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61">
        <v>46168.0</v>
      </c>
      <c r="C36" s="61">
        <v>46175.0</v>
      </c>
      <c r="E36" s="61">
        <v>46182.0</v>
      </c>
      <c r="G36" s="61">
        <v>46189.0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61">
        <v>46169.0</v>
      </c>
      <c r="C37" s="61">
        <v>46176.0</v>
      </c>
      <c r="E37" s="61">
        <v>46183.0</v>
      </c>
      <c r="G37" s="61">
        <v>46190.0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61">
        <v>46170.0</v>
      </c>
      <c r="C38" s="61">
        <v>46177.0</v>
      </c>
      <c r="E38" s="61">
        <v>46184.0</v>
      </c>
      <c r="G38" s="61">
        <v>46191.0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61">
        <v>46171.0</v>
      </c>
      <c r="C39" s="61">
        <v>46178.0</v>
      </c>
      <c r="E39" s="61">
        <v>46185.0</v>
      </c>
      <c r="G39" s="61">
        <v>46192.0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61">
        <v>46172.0</v>
      </c>
      <c r="C40" s="61">
        <v>46179.0</v>
      </c>
      <c r="E40" s="61">
        <v>46186.0</v>
      </c>
      <c r="G40" s="61">
        <v>46193.0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2"/>
      <c r="B41" s="56">
        <f>SUM(B35:B40)</f>
        <v>159000</v>
      </c>
      <c r="C41" s="12"/>
      <c r="D41" s="56">
        <f>SUM(D35:D40)</f>
        <v>0</v>
      </c>
      <c r="E41" s="12"/>
      <c r="F41" s="56">
        <f>SUM(F35:F40)</f>
        <v>0</v>
      </c>
      <c r="G41" s="12"/>
      <c r="H41" s="56">
        <f>SUM(H35:H40)</f>
        <v>0</v>
      </c>
      <c r="I41" s="62">
        <v>3.0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58" t="s">
        <v>41</v>
      </c>
      <c r="B42" s="59"/>
      <c r="C42" s="58" t="s">
        <v>41</v>
      </c>
      <c r="D42" s="59"/>
      <c r="E42" s="58" t="s">
        <v>41</v>
      </c>
      <c r="F42" s="59"/>
      <c r="G42" s="58" t="s">
        <v>41</v>
      </c>
      <c r="H42" s="59"/>
      <c r="I42" s="60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2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</sheetData>
  <mergeCells count="29">
    <mergeCell ref="E10:F11"/>
    <mergeCell ref="G10:G11"/>
    <mergeCell ref="I1:I12"/>
    <mergeCell ref="H8:H9"/>
    <mergeCell ref="A9:B9"/>
    <mergeCell ref="C9:D9"/>
    <mergeCell ref="E9:F9"/>
    <mergeCell ref="A10:B11"/>
    <mergeCell ref="H10:H11"/>
    <mergeCell ref="D16:D21"/>
    <mergeCell ref="D25:D30"/>
    <mergeCell ref="H16:H21"/>
    <mergeCell ref="H25:H30"/>
    <mergeCell ref="C10:D11"/>
    <mergeCell ref="A12:D12"/>
    <mergeCell ref="F16:F21"/>
    <mergeCell ref="I16:I21"/>
    <mergeCell ref="A24:I24"/>
    <mergeCell ref="B25:B30"/>
    <mergeCell ref="F25:F30"/>
    <mergeCell ref="I35:I40"/>
    <mergeCell ref="A43:I43"/>
    <mergeCell ref="I25:I30"/>
    <mergeCell ref="A33:I33"/>
    <mergeCell ref="A34:I34"/>
    <mergeCell ref="B35:B40"/>
    <mergeCell ref="D35:D40"/>
    <mergeCell ref="F35:F40"/>
    <mergeCell ref="H35:H40"/>
  </mergeCells>
  <drawing r:id="rId1"/>
</worksheet>
</file>