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</sheets>
  <definedNames/>
  <calcPr/>
</workbook>
</file>

<file path=xl/sharedStrings.xml><?xml version="1.0" encoding="utf-8"?>
<sst xmlns="http://schemas.openxmlformats.org/spreadsheetml/2006/main" count="48" uniqueCount="41">
  <si>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</si>
  <si>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</si>
  <si>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</si>
  <si>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</si>
  <si>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</si>
  <si>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</si>
  <si>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</si>
  <si>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</si>
  <si>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A2175</t>
  </si>
  <si>
    <t>BOXER</t>
  </si>
  <si>
    <t>BAJA</t>
  </si>
  <si>
    <t>EXX41H</t>
  </si>
  <si>
    <t>21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</si>
  <si>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</si>
  <si>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</si>
  <si>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</si>
  <si>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</si>
  <si>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</si>
  <si>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</si>
  <si>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</si>
  <si>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</si>
  <si>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</si>
  <si>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</si>
  <si>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</si>
  <si>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</si>
  <si>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</si>
  <si>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</si>
  <si>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</si>
  <si>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</si>
  <si>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>JOSE TORRES</t>
  </si>
  <si>
    <t>TORRES</t>
  </si>
  <si>
    <t>colombiana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</si>
  <si>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</si>
  <si>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</si>
  <si>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</si>
  <si>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</si>
  <si>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</si>
  <si>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</si>
  <si>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</si>
  <si>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exonerado y agregado a su cuenta</t>
  </si>
  <si>
    <t>M17308416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</si>
</sst>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"/>
    <numFmt numFmtId="165" formatCode="[$$]#,##0.00"/>
    <numFmt numFmtId="166" formatCode="dd/mm/yyyy"/>
    <numFmt numFmtId="167" formatCode="&quot;$&quot;#,##0"/>
    <numFmt numFmtId="168" formatCode="&quot;$&quot;#,##0.00"/>
  </numFmts>
  <fonts count="37">
    <font>
      <sz val="10.0"/>
      <color rgb="FF000000"/>
      <name val="Arial"/>
      <scheme val="minor"/>
    </font>
    <font>
      <b/>
      <sz val="14.0"/>
      <color rgb="FFFFFFFF"/>
      <name val="Arial"/>
    </font>
    <font>
      <sz val="12.0"/>
      <color theme="1"/>
      <name val="Arial"/>
    </font>
    <font>
      <b/>
      <sz val="11.0"/>
      <color theme="1"/>
      <name val="Nunito"/>
    </font>
    <font>
      <color theme="1"/>
      <name val="Arial"/>
    </font>
    <font>
      <b/>
      <sz val="12.0"/>
      <color rgb="FFFFFFFF"/>
      <name val="Nunito"/>
    </font>
    <font>
      <b/>
      <sz val="13.0"/>
      <color theme="1"/>
      <name val="Nunito"/>
    </font>
    <font>
      <b/>
      <sz val="13.0"/>
      <color theme="1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color theme="1"/>
      <name val="Arial"/>
    </font>
    <font>
      <b/>
      <color rgb="FFFFFFFF"/>
      <name val="Arial"/>
    </font>
    <font>
      <b/>
      <sz val="15.0"/>
      <color rgb="FF000000"/>
      <name val="Arial"/>
    </font>
    <font>
      <b/>
      <sz val="15.0"/>
      <color rgb="FFFFFFFF"/>
      <name val="Arial"/>
    </font>
    <font>
      <sz val="15.0"/>
      <color rgb="FFFFFFFF"/>
      <name val="Arial"/>
      <scheme val="minor"/>
    </font>
    <font>
      <sz val="25.0"/>
      <color theme="1"/>
      <name val="Arial"/>
    </font>
    <font>
      <color rgb="FFFFFFFF"/>
      <name val="Arial"/>
    </font>
    <font/>
    <font>
      <b/>
      <sz val="27.0"/>
      <color rgb="FFFFFFFF"/>
      <name val="Arial"/>
    </font>
    <font>
      <b/>
      <sz val="24.0"/>
      <color rgb="FFFFFFFF"/>
      <name val="Arial"/>
    </font>
    <font>
      <b/>
      <sz val="25.0"/>
      <color rgb="FFFFFFFF"/>
      <name val="Arial"/>
    </font>
    <font>
      <b/>
      <sz val="25.0"/>
      <color theme="1"/>
      <name val="Arial"/>
    </font>
    <font>
      <b/>
      <color rgb="FF000000"/>
      <name val="Arial"/>
    </font>
    <font>
      <b/>
      <sz val="12.0"/>
      <color rgb="FFFFFFFF"/>
      <name val="Arial"/>
    </font>
    <font>
      <color rgb="FF000000"/>
      <name val="Arial"/>
    </font>
    <font>
      <sz val="12.0"/>
      <color rgb="FFFFFFFF"/>
      <name val="Arial"/>
    </font>
    <font>
      <sz val="11.0"/>
      <color rgb="FF000000"/>
      <name val="Arial"/>
    </font>
    <font>
      <b/>
      <sz val="23.0"/>
      <color rgb="FFFFFFFF"/>
      <name val="Arial"/>
    </font>
    <font>
      <sz val="11.0"/>
      <color rgb="FFFFFFFF"/>
      <name val="Arial"/>
    </font>
    <font>
      <b/>
      <sz val="13.0"/>
      <color rgb="FF000000"/>
      <name val="Arial"/>
    </font>
    <font>
      <b/>
      <sz val="13.0"/>
      <color rgb="FFFFFFFF"/>
      <name val="Arial"/>
    </font>
    <font>
      <color rgb="FF46BDC6"/>
      <name val="Arial"/>
    </font>
    <font>
      <sz val="11.0"/>
      <color theme="1"/>
      <name val="Arial"/>
    </font>
    <font>
      <color theme="9"/>
      <name val="Arial"/>
    </font>
    <font>
      <b/>
      <sz val="11.0"/>
      <color theme="1"/>
      <name val="Arial"/>
    </font>
    <font>
      <sz val="8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46BDC6"/>
        <bgColor rgb="FF46BDC6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134F5C"/>
        <bgColor rgb="FF134F5C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</fills>
  <borders count="8">
    <border/>
    <border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0" fillId="4" fontId="4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3" fontId="6" numFmtId="165" xfId="0" applyAlignment="1" applyBorder="1" applyFont="1" applyNumberFormat="1">
      <alignment horizontal="center" vertical="bottom"/>
    </xf>
    <xf borderId="1" fillId="3" fontId="6" numFmtId="4" xfId="0" applyAlignment="1" applyBorder="1" applyFont="1" applyNumberFormat="1">
      <alignment horizontal="center" vertical="bottom"/>
    </xf>
    <xf borderId="1" fillId="3" fontId="6" numFmtId="1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0" fillId="3" fontId="7" numFmtId="165" xfId="0" applyAlignment="1" applyFont="1" applyNumberFormat="1">
      <alignment horizontal="center" vertical="bottom"/>
    </xf>
    <xf borderId="1" fillId="6" fontId="7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shrinkToFit="0" vertical="bottom" wrapText="1"/>
    </xf>
    <xf borderId="0" fillId="8" fontId="10" numFmtId="0" xfId="0" applyAlignment="1" applyFont="1">
      <alignment horizontal="center" shrinkToFit="0" vertical="bottom" wrapText="1"/>
    </xf>
    <xf borderId="0" fillId="3" fontId="7" numFmtId="0" xfId="0" applyAlignment="1" applyFont="1">
      <alignment horizontal="center" vertical="bottom"/>
    </xf>
    <xf borderId="0" fillId="3" fontId="7" numFmtId="0" xfId="0" applyAlignment="1" applyFont="1">
      <alignment horizontal="center" readingOrder="0" vertical="bottom"/>
    </xf>
    <xf borderId="0" fillId="3" fontId="2" numFmtId="0" xfId="0" applyAlignment="1" applyFont="1">
      <alignment horizontal="center" shrinkToFit="0" vertical="bottom" wrapText="0"/>
    </xf>
    <xf borderId="0" fillId="9" fontId="11" numFmtId="4" xfId="0" applyAlignment="1" applyFill="1" applyFont="1" applyNumberFormat="1">
      <alignment horizontal="center" readingOrder="0" vertical="bottom"/>
    </xf>
    <xf borderId="0" fillId="10" fontId="12" numFmtId="0" xfId="0" applyAlignment="1" applyFill="1" applyFont="1">
      <alignment horizontal="center" vertical="bottom"/>
    </xf>
    <xf borderId="0" fillId="11" fontId="13" numFmtId="164" xfId="0" applyAlignment="1" applyFill="1" applyFont="1" applyNumberFormat="1">
      <alignment horizontal="center" readingOrder="0" vertical="bottom"/>
    </xf>
    <xf borderId="0" fillId="9" fontId="4" numFmtId="0" xfId="0" applyAlignment="1" applyFont="1">
      <alignment vertical="bottom"/>
    </xf>
    <xf borderId="2" fillId="9" fontId="4" numFmtId="0" xfId="0" applyAlignment="1" applyBorder="1" applyFont="1">
      <alignment vertical="bottom"/>
    </xf>
    <xf borderId="0" fillId="9" fontId="14" numFmtId="164" xfId="0" applyAlignment="1" applyFont="1" applyNumberFormat="1">
      <alignment horizontal="center" readingOrder="0" vertical="bottom"/>
    </xf>
    <xf borderId="0" fillId="9" fontId="15" numFmtId="164" xfId="0" applyAlignment="1" applyFont="1" applyNumberFormat="1">
      <alignment horizontal="center" readingOrder="0"/>
    </xf>
    <xf borderId="3" fillId="9" fontId="16" numFmtId="0" xfId="0" applyAlignment="1" applyBorder="1" applyFont="1">
      <alignment horizontal="center" vertical="bottom"/>
    </xf>
    <xf borderId="0" fillId="5" fontId="12" numFmtId="0" xfId="0" applyAlignment="1" applyFont="1">
      <alignment horizontal="center" vertical="bottom"/>
    </xf>
    <xf borderId="0" fillId="5" fontId="17" numFmtId="0" xfId="0" applyAlignment="1" applyFont="1">
      <alignment horizontal="center" vertical="bottom"/>
    </xf>
    <xf borderId="4" fillId="0" fontId="18" numFmtId="0" xfId="0" applyBorder="1" applyFont="1"/>
    <xf borderId="0" fillId="9" fontId="16" numFmtId="3" xfId="0" applyAlignment="1" applyFont="1" applyNumberFormat="1">
      <alignment horizontal="center" vertical="bottom"/>
    </xf>
    <xf borderId="0" fillId="12" fontId="19" numFmtId="4" xfId="0" applyAlignment="1" applyFill="1" applyFont="1" applyNumberFormat="1">
      <alignment horizontal="center" vertical="bottom"/>
    </xf>
    <xf borderId="0" fillId="13" fontId="20" numFmtId="4" xfId="0" applyAlignment="1" applyFill="1" applyFont="1" applyNumberFormat="1">
      <alignment horizontal="center" vertical="bottom"/>
    </xf>
    <xf borderId="0" fillId="13" fontId="21" numFmtId="164" xfId="0" applyAlignment="1" applyFont="1" applyNumberFormat="1">
      <alignment horizontal="center" vertical="center"/>
    </xf>
    <xf borderId="4" fillId="9" fontId="22" numFmtId="0" xfId="0" applyAlignment="1" applyBorder="1" applyFont="1">
      <alignment horizontal="center" vertical="bottom"/>
    </xf>
    <xf borderId="5" fillId="0" fontId="18" numFmtId="0" xfId="0" applyBorder="1" applyFont="1"/>
    <xf borderId="0" fillId="14" fontId="12" numFmtId="0" xfId="0" applyAlignment="1" applyFill="1" applyFont="1">
      <alignment vertical="bottom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4" fontId="17" numFmtId="0" xfId="0" applyAlignment="1" applyFont="1">
      <alignment vertical="bottom"/>
    </xf>
    <xf borderId="0" fillId="15" fontId="12" numFmtId="0" xfId="0" applyAlignment="1" applyFill="1" applyFont="1">
      <alignment horizontal="center" vertical="bottom"/>
    </xf>
    <xf borderId="0" fillId="16" fontId="23" numFmtId="0" xfId="0" applyAlignment="1" applyFill="1" applyFont="1">
      <alignment horizontal="center" vertical="bottom"/>
    </xf>
    <xf borderId="0" fillId="15" fontId="24" numFmtId="0" xfId="0" applyAlignment="1" applyFont="1">
      <alignment horizontal="center" vertical="bottom"/>
    </xf>
    <xf borderId="0" fillId="17" fontId="17" numFmtId="0" xfId="0" applyAlignment="1" applyFill="1" applyFont="1">
      <alignment vertical="bottom"/>
    </xf>
    <xf borderId="0" fillId="15" fontId="17" numFmtId="166" xfId="0" applyAlignment="1" applyFont="1" applyNumberFormat="1">
      <alignment vertical="bottom"/>
    </xf>
    <xf borderId="0" fillId="16" fontId="25" numFmtId="164" xfId="0" applyAlignment="1" applyFont="1" applyNumberFormat="1">
      <alignment vertical="bottom"/>
    </xf>
    <xf borderId="0" fillId="15" fontId="26" numFmtId="166" xfId="0" applyAlignment="1" applyFont="1" applyNumberFormat="1">
      <alignment horizontal="center" vertical="bottom"/>
    </xf>
    <xf borderId="0" fillId="16" fontId="27" numFmtId="164" xfId="0" applyAlignment="1" applyFont="1" applyNumberFormat="1">
      <alignment horizontal="center" vertical="bottom"/>
    </xf>
    <xf borderId="0" fillId="15" fontId="28" numFmtId="164" xfId="0" applyAlignment="1" applyFont="1" applyNumberFormat="1">
      <alignment horizontal="center" vertical="center"/>
    </xf>
    <xf borderId="0" fillId="15" fontId="29" numFmtId="166" xfId="0" applyAlignment="1" applyFont="1" applyNumberFormat="1">
      <alignment horizontal="center" vertical="bottom"/>
    </xf>
    <xf borderId="0" fillId="15" fontId="17" numFmtId="0" xfId="0" applyAlignment="1" applyFont="1">
      <alignment vertical="bottom"/>
    </xf>
    <xf borderId="0" fillId="16" fontId="30" numFmtId="164" xfId="0" applyAlignment="1" applyFont="1" applyNumberFormat="1">
      <alignment horizontal="center" vertical="bottom"/>
    </xf>
    <xf borderId="0" fillId="15" fontId="26" numFmtId="0" xfId="0" applyAlignment="1" applyFont="1">
      <alignment vertical="bottom"/>
    </xf>
    <xf borderId="0" fillId="18" fontId="31" numFmtId="0" xfId="0" applyAlignment="1" applyFill="1" applyFont="1">
      <alignment horizontal="center" readingOrder="0" vertical="bottom"/>
    </xf>
    <xf borderId="0" fillId="19" fontId="4" numFmtId="0" xfId="0" applyAlignment="1" applyFill="1" applyFont="1">
      <alignment vertical="bottom"/>
    </xf>
    <xf borderId="0" fillId="19" fontId="31" numFmtId="164" xfId="0" applyAlignment="1" applyFont="1" applyNumberFormat="1">
      <alignment horizontal="center" vertical="bottom"/>
    </xf>
    <xf borderId="0" fillId="19" fontId="31" numFmtId="0" xfId="0" applyAlignment="1" applyFont="1">
      <alignment horizontal="center" readingOrder="0" vertical="bottom"/>
    </xf>
    <xf borderId="0" fillId="9" fontId="4" numFmtId="0" xfId="0" applyAlignment="1" applyFont="1">
      <alignment horizontal="center" vertical="bottom"/>
    </xf>
    <xf borderId="0" fillId="10" fontId="4" numFmtId="0" xfId="0" applyAlignment="1" applyFont="1">
      <alignment vertical="bottom"/>
    </xf>
    <xf borderId="0" fillId="9" fontId="32" numFmtId="0" xfId="0" applyAlignment="1" applyFont="1">
      <alignment horizontal="center" readingOrder="0" vertical="bottom"/>
    </xf>
    <xf borderId="0" fillId="20" fontId="33" numFmtId="166" xfId="0" applyAlignment="1" applyFill="1" applyFont="1" applyNumberFormat="1">
      <alignment horizontal="center" vertical="bottom"/>
    </xf>
    <xf borderId="0" fillId="20" fontId="33" numFmtId="164" xfId="0" applyAlignment="1" applyFont="1" applyNumberFormat="1">
      <alignment horizontal="center" vertical="bottom"/>
    </xf>
    <xf borderId="0" fillId="21" fontId="33" numFmtId="166" xfId="0" applyAlignment="1" applyFill="1" applyFont="1" applyNumberFormat="1">
      <alignment horizontal="center" vertical="bottom"/>
    </xf>
    <xf borderId="0" fillId="16" fontId="33" numFmtId="164" xfId="0" applyAlignment="1" applyFont="1" applyNumberFormat="1">
      <alignment horizontal="center" vertical="bottom"/>
    </xf>
    <xf borderId="0" fillId="9" fontId="28" numFmtId="164" xfId="0" applyAlignment="1" applyFont="1" applyNumberFormat="1">
      <alignment horizontal="center" vertical="center"/>
    </xf>
    <xf borderId="0" fillId="20" fontId="4" numFmtId="164" xfId="0" applyAlignment="1" applyFont="1" applyNumberFormat="1">
      <alignment vertical="bottom"/>
    </xf>
    <xf borderId="0" fillId="16" fontId="4" numFmtId="164" xfId="0" applyAlignment="1" applyFont="1" applyNumberFormat="1">
      <alignment vertical="bottom"/>
    </xf>
    <xf borderId="0" fillId="20" fontId="4" numFmtId="0" xfId="0" applyAlignment="1" applyFont="1">
      <alignment vertical="bottom"/>
    </xf>
    <xf borderId="0" fillId="20" fontId="31" numFmtId="164" xfId="0" applyAlignment="1" applyFont="1" applyNumberFormat="1">
      <alignment horizontal="center" vertical="bottom"/>
    </xf>
    <xf borderId="0" fillId="18" fontId="4" numFmtId="0" xfId="0" applyAlignment="1" applyFont="1">
      <alignment vertical="bottom"/>
    </xf>
    <xf borderId="0" fillId="18" fontId="31" numFmtId="164" xfId="0" applyAlignment="1" applyFont="1" applyNumberFormat="1">
      <alignment horizontal="center" vertical="bottom"/>
    </xf>
    <xf borderId="0" fillId="20" fontId="4" numFmtId="0" xfId="0" applyAlignment="1" applyFont="1">
      <alignment horizontal="center" vertical="bottom"/>
    </xf>
    <xf borderId="0" fillId="22" fontId="4" numFmtId="0" xfId="0" applyAlignment="1" applyFill="1" applyFont="1">
      <alignment vertical="bottom"/>
    </xf>
    <xf borderId="0" fillId="9" fontId="34" numFmtId="0" xfId="0" applyAlignment="1" applyFont="1">
      <alignment horizontal="center" readingOrder="0" vertical="bottom"/>
    </xf>
    <xf borderId="0" fillId="23" fontId="4" numFmtId="0" xfId="0" applyAlignment="1" applyFill="1" applyFont="1">
      <alignment vertical="bottom"/>
    </xf>
    <xf borderId="0" fillId="21" fontId="33" numFmtId="166" xfId="0" applyAlignment="1" applyFont="1" applyNumberFormat="1">
      <alignment horizontal="center" readingOrder="0" vertical="bottom"/>
    </xf>
    <xf borderId="0" fillId="9" fontId="28" numFmtId="164" xfId="0" applyAlignment="1" applyFont="1" applyNumberFormat="1">
      <alignment horizontal="center"/>
    </xf>
    <xf borderId="0" fillId="0" fontId="4" numFmtId="4" xfId="0" applyAlignment="1" applyFont="1" applyNumberFormat="1">
      <alignment horizontal="center" vertical="bottom"/>
    </xf>
    <xf borderId="0" fillId="0" fontId="4" numFmtId="167" xfId="0" applyAlignment="1" applyFont="1" applyNumberFormat="1">
      <alignment horizontal="center" vertical="bottom"/>
    </xf>
    <xf borderId="0" fillId="0" fontId="4" numFmtId="4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16" fontId="4" numFmtId="4" xfId="0" applyAlignment="1" applyFont="1" applyNumberFormat="1">
      <alignment vertical="bottom"/>
    </xf>
    <xf borderId="0" fillId="9" fontId="32" numFmtId="0" xfId="0" applyAlignment="1" applyFont="1">
      <alignment readingOrder="0" vertical="bottom"/>
    </xf>
    <xf borderId="0" fillId="16" fontId="4" numFmtId="4" xfId="0" applyAlignment="1" applyFont="1" applyNumberFormat="1">
      <alignment horizontal="center" vertical="bottom"/>
    </xf>
    <xf borderId="0" fillId="24" fontId="35" numFmtId="166" xfId="0" applyAlignment="1" applyFill="1" applyFont="1" applyNumberFormat="1">
      <alignment horizontal="center" vertical="bottom"/>
    </xf>
    <xf borderId="0" fillId="0" fontId="33" numFmtId="168" xfId="0" applyAlignment="1" applyFont="1" applyNumberFormat="1">
      <alignment horizontal="center" vertical="bottom"/>
    </xf>
    <xf borderId="0" fillId="21" fontId="35" numFmtId="166" xfId="0" applyAlignment="1" applyFont="1" applyNumberFormat="1">
      <alignment horizontal="center" vertical="bottom"/>
    </xf>
    <xf borderId="0" fillId="24" fontId="4" numFmtId="166" xfId="0" applyAlignment="1" applyFont="1" applyNumberFormat="1">
      <alignment horizontal="center" vertical="bottom"/>
    </xf>
    <xf borderId="0" fillId="0" fontId="4" numFmtId="168" xfId="0" applyAlignment="1" applyFont="1" applyNumberFormat="1">
      <alignment vertical="bottom"/>
    </xf>
    <xf borderId="0" fillId="21" fontId="4" numFmtId="166" xfId="0" applyAlignment="1" applyFont="1" applyNumberFormat="1">
      <alignment horizontal="center" vertical="bottom"/>
    </xf>
    <xf borderId="0" fillId="0" fontId="4" numFmtId="168" xfId="0" applyAlignment="1" applyFont="1" applyNumberFormat="1">
      <alignment horizontal="right" vertical="bottom"/>
    </xf>
    <xf borderId="0" fillId="0" fontId="4" numFmtId="168" xfId="0" applyAlignment="1" applyFont="1" applyNumberFormat="1">
      <alignment horizontal="center" vertical="bottom"/>
    </xf>
    <xf borderId="0" fillId="3" fontId="36" numFmtId="4" xfId="0" applyAlignment="1" applyFont="1" applyNumberFormat="1">
      <alignment textRotation="45" vertical="bottom"/>
    </xf>
    <xf borderId="1" fillId="18" fontId="31" numFmtId="0" xfId="0" applyAlignment="1" applyBorder="1" applyFont="1">
      <alignment horizontal="center" readingOrder="0" shrinkToFit="0" vertical="bottom" wrapText="0"/>
    </xf>
    <xf borderId="0" fillId="10" fontId="4" numFmtId="0" xfId="0" applyAlignment="1" applyFont="1">
      <alignment horizontal="center" readingOrder="0" vertical="bottom"/>
    </xf>
    <xf borderId="0" fillId="0" fontId="4" numFmtId="168" xfId="0" applyAlignment="1" applyFont="1" applyNumberFormat="1">
      <alignment horizontal="center" readingOrder="0" vertical="bottom"/>
    </xf>
    <xf borderId="0" fillId="21" fontId="4" numFmtId="166" xfId="0" applyAlignment="1" applyFont="1" applyNumberFormat="1">
      <alignment horizontal="center" readingOrder="0" vertical="bottom"/>
    </xf>
    <xf borderId="0" fillId="18" fontId="3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1609725</xdr:colOff>
      <xdr:row>0</xdr:row>
      <xdr:rowOff>0</xdr:rowOff>
    </xdr:from>
    <xdr:ext cx="2266950" cy="2676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29.38"/>
    <col customWidth="1" min="2" max="2" width="19.38"/>
    <col customWidth="1" min="3" max="3" width="19.75"/>
    <col customWidth="1" min="4" max="4" width="22.13"/>
    <col customWidth="1" min="5" max="5" width="18.38"/>
    <col customWidth="1" min="6" max="6" width="20.63"/>
    <col customWidth="1" min="7" max="7" width="22.38"/>
    <col customWidth="1" min="8" max="8" width="21.38"/>
    <col customWidth="1" min="9" max="9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4">
        <v>2026.0</v>
      </c>
      <c r="D2" s="3" t="s">
        <v>10</v>
      </c>
      <c r="E2" s="3" t="s">
        <v>11</v>
      </c>
      <c r="F2" s="5" t="s">
        <v>12</v>
      </c>
      <c r="G2" s="6">
        <v>6800000.0</v>
      </c>
      <c r="H2" s="6">
        <v>800000.0</v>
      </c>
    </row>
    <row r="3">
      <c r="A3" s="7"/>
      <c r="B3" s="7"/>
      <c r="C3" s="7"/>
      <c r="D3" s="7"/>
      <c r="E3" s="7"/>
      <c r="F3" s="7"/>
      <c r="G3" s="7"/>
      <c r="H3" s="7"/>
    </row>
    <row r="4">
      <c r="A4" s="8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</row>
    <row r="5">
      <c r="A5" s="10">
        <f>G2-H2</f>
        <v>6000000</v>
      </c>
      <c r="B5" s="10">
        <f>A5*1.7</f>
        <v>10200000</v>
      </c>
      <c r="C5" s="11">
        <f>A5+B5</f>
        <v>16200000</v>
      </c>
      <c r="D5" s="12">
        <v>24.0</v>
      </c>
      <c r="E5" s="13">
        <f>C5/D5</f>
        <v>675000</v>
      </c>
      <c r="F5" s="14">
        <f>E5/2</f>
        <v>337500</v>
      </c>
      <c r="G5" s="15">
        <f>E5/4</f>
        <v>168750</v>
      </c>
      <c r="H5" s="13">
        <f>G5/6</f>
        <v>28125</v>
      </c>
    </row>
    <row r="6">
      <c r="A6" s="16" t="s">
        <v>21</v>
      </c>
      <c r="B6" s="16" t="s">
        <v>22</v>
      </c>
      <c r="C6" s="16" t="s">
        <v>23</v>
      </c>
      <c r="D6" s="16" t="s">
        <v>24</v>
      </c>
      <c r="E6" s="16" t="s">
        <v>25</v>
      </c>
      <c r="F6" s="17" t="s">
        <v>26</v>
      </c>
      <c r="G6" s="18" t="s">
        <v>27</v>
      </c>
      <c r="H6" s="18" t="s">
        <v>28</v>
      </c>
    </row>
    <row r="7">
      <c r="A7" s="19" t="s">
        <v>29</v>
      </c>
      <c r="B7" s="19" t="s">
        <v>30</v>
      </c>
      <c r="C7" s="19">
        <v>9203559.0</v>
      </c>
      <c r="D7" s="20" t="s">
        <v>31</v>
      </c>
      <c r="E7" s="21">
        <v>3.246251019E9</v>
      </c>
      <c r="F7" s="22"/>
      <c r="G7" s="23"/>
      <c r="H7" s="24">
        <v>201600.0</v>
      </c>
    </row>
    <row r="8">
      <c r="A8" s="25"/>
      <c r="B8" s="25"/>
      <c r="C8" s="25"/>
      <c r="D8" s="25"/>
      <c r="E8" s="26"/>
      <c r="F8" s="27">
        <v>470000.0</v>
      </c>
      <c r="G8" s="28">
        <v>280000.0</v>
      </c>
      <c r="H8" s="29" t="s">
        <v>16</v>
      </c>
    </row>
    <row r="9">
      <c r="A9" s="30" t="s">
        <v>32</v>
      </c>
      <c r="C9" s="31" t="s">
        <v>33</v>
      </c>
      <c r="E9" s="31" t="s">
        <v>34</v>
      </c>
      <c r="G9" s="31" t="s">
        <v>35</v>
      </c>
      <c r="H9" s="32"/>
    </row>
    <row r="10">
      <c r="A10" s="33">
        <f>I16+I26+I36+I46+I56+I65+I75+I84+I94+I104+I114+I124+I134+I144+I154+I164+I174+I184</f>
        <v>11317000</v>
      </c>
      <c r="C10" s="34">
        <f>C5-A10</f>
        <v>4883000</v>
      </c>
      <c r="E10" s="35">
        <f>C10+G10</f>
        <v>5834600</v>
      </c>
      <c r="G10" s="36">
        <f>F8+G8+H7</f>
        <v>951600</v>
      </c>
      <c r="H10" s="37">
        <f>I24+I33+I43+I53+I63+I72+I82+I91+I101+I111+I121+I131+I141+I151+I161+I171+I181</f>
        <v>17</v>
      </c>
    </row>
    <row r="11">
      <c r="H11" s="38"/>
    </row>
    <row r="12">
      <c r="A12" s="39" t="s">
        <v>36</v>
      </c>
      <c r="E12" s="40"/>
      <c r="F12" s="41"/>
      <c r="G12" s="41"/>
      <c r="H12" s="42"/>
    </row>
    <row r="13">
      <c r="A13" s="43"/>
      <c r="B13" s="43"/>
      <c r="C13" s="43"/>
      <c r="D13" s="43"/>
      <c r="E13" s="43"/>
      <c r="F13" s="43"/>
      <c r="G13" s="43"/>
      <c r="H13" s="43"/>
      <c r="I13" s="43"/>
    </row>
    <row r="14">
      <c r="A14" s="43"/>
      <c r="B14" s="43"/>
      <c r="C14" s="43"/>
      <c r="D14" s="43"/>
      <c r="E14" s="43"/>
      <c r="F14" s="43"/>
      <c r="G14" s="43"/>
      <c r="H14" s="43"/>
      <c r="I14" s="43"/>
    </row>
    <row r="15">
      <c r="A15" s="44" t="s">
        <v>37</v>
      </c>
      <c r="B15" s="45" t="s">
        <v>38</v>
      </c>
      <c r="C15" s="46" t="s">
        <v>37</v>
      </c>
      <c r="D15" s="45" t="s">
        <v>38</v>
      </c>
      <c r="E15" s="46" t="s">
        <v>37</v>
      </c>
      <c r="F15" s="45" t="s">
        <v>38</v>
      </c>
      <c r="G15" s="46" t="s">
        <v>37</v>
      </c>
      <c r="H15" s="45" t="s">
        <v>38</v>
      </c>
      <c r="I15" s="47"/>
    </row>
    <row r="16">
      <c r="A16" s="48"/>
      <c r="B16" s="49"/>
      <c r="C16" s="50">
        <v>45691.0</v>
      </c>
      <c r="D16" s="51">
        <v>224000.0</v>
      </c>
      <c r="E16" s="50">
        <v>45698.0</v>
      </c>
      <c r="F16" s="51">
        <v>168000.0</v>
      </c>
      <c r="G16" s="50">
        <v>45705.0</v>
      </c>
      <c r="H16" s="51">
        <v>168000.0</v>
      </c>
      <c r="I16" s="52">
        <f>B22+D22+F22+H22</f>
        <v>560000</v>
      </c>
    </row>
    <row r="17">
      <c r="A17" s="48"/>
      <c r="B17" s="49"/>
      <c r="C17" s="50">
        <v>45692.0</v>
      </c>
      <c r="D17" s="49"/>
      <c r="E17" s="50">
        <v>45699.0</v>
      </c>
      <c r="F17" s="49"/>
      <c r="G17" s="50">
        <v>45706.0</v>
      </c>
      <c r="H17" s="49"/>
    </row>
    <row r="18">
      <c r="A18" s="48"/>
      <c r="B18" s="49"/>
      <c r="C18" s="50">
        <v>45693.0</v>
      </c>
      <c r="D18" s="49"/>
      <c r="E18" s="50">
        <v>45700.0</v>
      </c>
      <c r="F18" s="49"/>
      <c r="G18" s="50">
        <v>45707.0</v>
      </c>
      <c r="H18" s="49"/>
    </row>
    <row r="19">
      <c r="A19" s="48"/>
      <c r="B19" s="49"/>
      <c r="C19" s="50">
        <v>45694.0</v>
      </c>
      <c r="D19" s="49"/>
      <c r="E19" s="50">
        <v>45701.0</v>
      </c>
      <c r="F19" s="49"/>
      <c r="G19" s="50">
        <v>45708.0</v>
      </c>
      <c r="H19" s="49"/>
    </row>
    <row r="20">
      <c r="A20" s="53">
        <v>45688.0</v>
      </c>
      <c r="B20" s="51">
        <v>0.0</v>
      </c>
      <c r="C20" s="50">
        <v>45695.0</v>
      </c>
      <c r="D20" s="49"/>
      <c r="E20" s="50">
        <v>45702.0</v>
      </c>
      <c r="F20" s="49"/>
      <c r="G20" s="50">
        <v>45709.0</v>
      </c>
      <c r="H20" s="49"/>
    </row>
    <row r="21">
      <c r="A21" s="53">
        <v>45689.0</v>
      </c>
      <c r="B21" s="51">
        <v>0.0</v>
      </c>
      <c r="C21" s="50">
        <v>45696.0</v>
      </c>
      <c r="D21" s="49"/>
      <c r="E21" s="50">
        <v>45703.0</v>
      </c>
      <c r="F21" s="49"/>
      <c r="G21" s="50">
        <v>45710.0</v>
      </c>
      <c r="H21" s="49"/>
    </row>
    <row r="22">
      <c r="A22" s="54"/>
      <c r="B22" s="55">
        <f t="shared" ref="B22:B23" si="1">SUM(B16:B21)</f>
        <v>0</v>
      </c>
      <c r="C22" s="56"/>
      <c r="D22" s="55">
        <f t="shared" ref="D22:D23" si="2">SUM(D16:D21)</f>
        <v>224000</v>
      </c>
      <c r="E22" s="56"/>
      <c r="F22" s="55">
        <f t="shared" ref="F22:F23" si="3">SUM(F16:F21)</f>
        <v>168000</v>
      </c>
      <c r="G22" s="56"/>
      <c r="H22" s="55">
        <f t="shared" ref="H22:H23" si="4">SUM(H16:H21)</f>
        <v>168000</v>
      </c>
      <c r="I22" s="57">
        <v>1.0</v>
      </c>
    </row>
    <row r="23">
      <c r="A23" s="58"/>
      <c r="B23" s="59">
        <f t="shared" si="1"/>
        <v>0</v>
      </c>
      <c r="C23" s="58"/>
      <c r="D23" s="59">
        <f t="shared" si="2"/>
        <v>224000</v>
      </c>
      <c r="E23" s="58"/>
      <c r="F23" s="59">
        <f t="shared" si="3"/>
        <v>168000</v>
      </c>
      <c r="G23" s="58"/>
      <c r="H23" s="59">
        <f t="shared" si="4"/>
        <v>168000</v>
      </c>
      <c r="I23" s="60"/>
    </row>
    <row r="24">
      <c r="A24" s="61"/>
      <c r="B24" s="62"/>
      <c r="C24" s="61"/>
      <c r="D24" s="62"/>
      <c r="E24" s="61"/>
      <c r="F24" s="62"/>
      <c r="G24" s="61"/>
      <c r="H24" s="62"/>
      <c r="I24" s="63">
        <v>1.0</v>
      </c>
    </row>
    <row r="25">
      <c r="A25" s="7"/>
      <c r="B25" s="7"/>
      <c r="C25" s="7"/>
      <c r="D25" s="7"/>
      <c r="E25" s="7"/>
      <c r="F25" s="7"/>
      <c r="G25" s="7"/>
      <c r="H25" s="7"/>
      <c r="I25" s="7"/>
    </row>
    <row r="26">
      <c r="A26" s="64">
        <v>45712.0</v>
      </c>
      <c r="B26" s="65">
        <v>168000.0</v>
      </c>
      <c r="C26" s="66">
        <v>45719.0</v>
      </c>
      <c r="D26" s="67">
        <v>168000.0</v>
      </c>
      <c r="E26" s="66">
        <v>45726.0</v>
      </c>
      <c r="F26" s="67">
        <v>168000.0</v>
      </c>
      <c r="G26" s="66">
        <v>45733.0</v>
      </c>
      <c r="H26" s="67">
        <v>168000.0</v>
      </c>
      <c r="I26" s="68">
        <f>B32+D32+F32+H32</f>
        <v>672000</v>
      </c>
    </row>
    <row r="27">
      <c r="A27" s="64">
        <v>45713.0</v>
      </c>
      <c r="B27" s="69"/>
      <c r="C27" s="66">
        <v>45720.0</v>
      </c>
      <c r="D27" s="70"/>
      <c r="E27" s="66">
        <v>45727.0</v>
      </c>
      <c r="F27" s="70"/>
      <c r="G27" s="66">
        <v>45734.0</v>
      </c>
      <c r="H27" s="70"/>
    </row>
    <row r="28">
      <c r="A28" s="64">
        <v>45714.0</v>
      </c>
      <c r="B28" s="69"/>
      <c r="C28" s="66">
        <v>45721.0</v>
      </c>
      <c r="D28" s="70"/>
      <c r="E28" s="66">
        <v>45728.0</v>
      </c>
      <c r="F28" s="70"/>
      <c r="G28" s="66">
        <v>45735.0</v>
      </c>
      <c r="H28" s="70"/>
    </row>
    <row r="29">
      <c r="A29" s="64">
        <v>45715.0</v>
      </c>
      <c r="B29" s="69"/>
      <c r="C29" s="66">
        <v>45722.0</v>
      </c>
      <c r="D29" s="70"/>
      <c r="E29" s="66">
        <v>45729.0</v>
      </c>
      <c r="F29" s="70"/>
      <c r="G29" s="66">
        <v>45736.0</v>
      </c>
      <c r="H29" s="70"/>
    </row>
    <row r="30">
      <c r="A30" s="64">
        <v>45716.0</v>
      </c>
      <c r="B30" s="69"/>
      <c r="C30" s="66">
        <v>45723.0</v>
      </c>
      <c r="D30" s="70"/>
      <c r="E30" s="66">
        <v>45730.0</v>
      </c>
      <c r="F30" s="70"/>
      <c r="G30" s="66">
        <v>45737.0</v>
      </c>
      <c r="H30" s="70"/>
    </row>
    <row r="31">
      <c r="A31" s="64">
        <v>45717.0</v>
      </c>
      <c r="B31" s="69"/>
      <c r="C31" s="66">
        <v>45724.0</v>
      </c>
      <c r="D31" s="70"/>
      <c r="E31" s="66">
        <v>45731.0</v>
      </c>
      <c r="F31" s="70"/>
      <c r="G31" s="66">
        <v>45738.0</v>
      </c>
      <c r="H31" s="70"/>
    </row>
    <row r="32">
      <c r="A32" s="71"/>
      <c r="B32" s="72">
        <f>SUM(B26:B31)</f>
        <v>168000</v>
      </c>
      <c r="C32" s="73"/>
      <c r="D32" s="74">
        <f>SUM(D26:D31)</f>
        <v>168000</v>
      </c>
      <c r="E32" s="73"/>
      <c r="F32" s="74">
        <f>SUM(F26:F31)</f>
        <v>168000</v>
      </c>
      <c r="G32" s="73"/>
      <c r="H32" s="74">
        <f>SUM(H26:H31)</f>
        <v>168000</v>
      </c>
      <c r="I32" s="57">
        <v>2.0</v>
      </c>
    </row>
    <row r="33">
      <c r="A33" s="75"/>
      <c r="B33" s="71"/>
      <c r="C33" s="61"/>
      <c r="D33" s="62"/>
      <c r="E33" s="61"/>
      <c r="F33" s="62"/>
      <c r="G33" s="61"/>
      <c r="H33" s="62"/>
      <c r="I33" s="63">
        <v>1.0</v>
      </c>
    </row>
    <row r="34">
      <c r="A34" s="7"/>
    </row>
    <row r="35">
      <c r="A35" s="76"/>
      <c r="B35" s="76"/>
      <c r="C35" s="76"/>
      <c r="D35" s="76"/>
      <c r="E35" s="76"/>
      <c r="F35" s="76"/>
      <c r="G35" s="76"/>
      <c r="H35" s="76"/>
      <c r="I35" s="76"/>
    </row>
    <row r="36">
      <c r="A36" s="66">
        <v>45740.0</v>
      </c>
      <c r="B36" s="67">
        <v>168000.0</v>
      </c>
      <c r="C36" s="66">
        <v>45747.0</v>
      </c>
      <c r="D36" s="67">
        <v>168000.0</v>
      </c>
      <c r="E36" s="66">
        <v>45754.0</v>
      </c>
      <c r="F36" s="67">
        <v>173000.0</v>
      </c>
      <c r="G36" s="66">
        <v>45761.0</v>
      </c>
      <c r="H36" s="67">
        <v>168000.0</v>
      </c>
      <c r="I36" s="68">
        <f>B42+D42+F42+H42</f>
        <v>677000</v>
      </c>
    </row>
    <row r="37">
      <c r="A37" s="66">
        <v>45741.0</v>
      </c>
      <c r="B37" s="70"/>
      <c r="C37" s="66">
        <v>45748.0</v>
      </c>
      <c r="D37" s="70"/>
      <c r="E37" s="66">
        <v>45755.0</v>
      </c>
      <c r="F37" s="70"/>
      <c r="G37" s="66">
        <v>45762.0</v>
      </c>
      <c r="H37" s="70"/>
    </row>
    <row r="38">
      <c r="A38" s="66">
        <v>45742.0</v>
      </c>
      <c r="B38" s="70"/>
      <c r="C38" s="66">
        <v>45749.0</v>
      </c>
      <c r="D38" s="70"/>
      <c r="E38" s="66">
        <v>45756.0</v>
      </c>
      <c r="F38" s="70"/>
      <c r="G38" s="66">
        <v>45763.0</v>
      </c>
      <c r="H38" s="70"/>
    </row>
    <row r="39">
      <c r="A39" s="66">
        <v>45743.0</v>
      </c>
      <c r="B39" s="70"/>
      <c r="C39" s="66">
        <v>45750.0</v>
      </c>
      <c r="D39" s="70"/>
      <c r="E39" s="66">
        <v>45757.0</v>
      </c>
      <c r="F39" s="70"/>
      <c r="G39" s="66">
        <v>45764.0</v>
      </c>
      <c r="H39" s="70"/>
    </row>
    <row r="40">
      <c r="A40" s="66">
        <v>45744.0</v>
      </c>
      <c r="B40" s="70"/>
      <c r="C40" s="66">
        <v>45751.0</v>
      </c>
      <c r="D40" s="70"/>
      <c r="E40" s="66">
        <v>45758.0</v>
      </c>
      <c r="F40" s="70"/>
      <c r="G40" s="66">
        <v>45765.0</v>
      </c>
      <c r="H40" s="70"/>
    </row>
    <row r="41">
      <c r="A41" s="66">
        <v>45745.0</v>
      </c>
      <c r="B41" s="70"/>
      <c r="C41" s="66">
        <v>45752.0</v>
      </c>
      <c r="D41" s="70"/>
      <c r="E41" s="66">
        <v>45759.0</v>
      </c>
      <c r="F41" s="70"/>
      <c r="G41" s="66">
        <v>45766.0</v>
      </c>
      <c r="H41" s="70"/>
    </row>
    <row r="42">
      <c r="A42" s="73"/>
      <c r="B42" s="74">
        <f>SUM(B36:B41)</f>
        <v>168000</v>
      </c>
      <c r="C42" s="73"/>
      <c r="D42" s="74">
        <f>SUM(D36:D41)</f>
        <v>168000</v>
      </c>
      <c r="E42" s="73"/>
      <c r="F42" s="74">
        <f>SUM(F36:F41)</f>
        <v>173000</v>
      </c>
      <c r="G42" s="73"/>
      <c r="H42" s="74">
        <f>SUM(H36:H41)</f>
        <v>168000</v>
      </c>
      <c r="I42" s="57">
        <v>3.0</v>
      </c>
    </row>
    <row r="43">
      <c r="A43" s="61"/>
      <c r="B43" s="62"/>
      <c r="C43" s="61"/>
      <c r="D43" s="62"/>
      <c r="E43" s="61"/>
      <c r="F43" s="62"/>
      <c r="G43" s="61"/>
      <c r="H43" s="62"/>
      <c r="I43" s="77">
        <v>1.0</v>
      </c>
    </row>
    <row r="44">
      <c r="A44" s="78"/>
    </row>
    <row r="45">
      <c r="A45" s="76"/>
      <c r="B45" s="76"/>
      <c r="C45" s="76"/>
      <c r="D45" s="76"/>
      <c r="E45" s="76"/>
      <c r="F45" s="76"/>
      <c r="G45" s="76"/>
      <c r="H45" s="76"/>
      <c r="I45" s="76"/>
    </row>
    <row r="46">
      <c r="A46" s="79">
        <v>45768.0</v>
      </c>
      <c r="B46" s="67">
        <v>168000.0</v>
      </c>
      <c r="C46" s="79">
        <v>45775.0</v>
      </c>
      <c r="D46" s="67">
        <v>168000.0</v>
      </c>
      <c r="E46" s="79">
        <v>45782.0</v>
      </c>
      <c r="F46" s="67">
        <v>168000.0</v>
      </c>
      <c r="G46" s="79">
        <v>45789.0</v>
      </c>
      <c r="H46" s="67">
        <v>168000.0</v>
      </c>
      <c r="I46" s="80">
        <f>B52+D52+F52+H52</f>
        <v>672000</v>
      </c>
    </row>
    <row r="47">
      <c r="A47" s="79">
        <v>45769.0</v>
      </c>
      <c r="B47" s="70"/>
      <c r="C47" s="79">
        <v>45776.0</v>
      </c>
      <c r="D47" s="70"/>
      <c r="E47" s="79">
        <v>45783.0</v>
      </c>
      <c r="F47" s="70"/>
      <c r="G47" s="79">
        <v>45790.0</v>
      </c>
      <c r="H47" s="70"/>
    </row>
    <row r="48">
      <c r="A48" s="79">
        <v>45770.0</v>
      </c>
      <c r="B48" s="49"/>
      <c r="C48" s="79">
        <v>45777.0</v>
      </c>
      <c r="D48" s="70"/>
      <c r="E48" s="79">
        <v>45784.0</v>
      </c>
      <c r="F48" s="70"/>
      <c r="G48" s="79">
        <v>45791.0</v>
      </c>
      <c r="H48" s="70"/>
    </row>
    <row r="49">
      <c r="A49" s="79">
        <v>45771.0</v>
      </c>
      <c r="B49" s="70"/>
      <c r="C49" s="79">
        <v>45778.0</v>
      </c>
      <c r="D49" s="70"/>
      <c r="E49" s="79">
        <v>45785.0</v>
      </c>
      <c r="F49" s="70"/>
      <c r="G49" s="79">
        <v>45792.0</v>
      </c>
      <c r="H49" s="70"/>
    </row>
    <row r="50">
      <c r="A50" s="79">
        <v>45772.0</v>
      </c>
      <c r="B50" s="70"/>
      <c r="C50" s="79">
        <v>45779.0</v>
      </c>
      <c r="D50" s="70"/>
      <c r="E50" s="79">
        <v>45786.0</v>
      </c>
      <c r="F50" s="70"/>
      <c r="G50" s="79">
        <v>45793.0</v>
      </c>
      <c r="H50" s="70"/>
    </row>
    <row r="51">
      <c r="A51" s="79">
        <v>45773.0</v>
      </c>
      <c r="B51" s="70"/>
      <c r="C51" s="79">
        <v>45780.0</v>
      </c>
      <c r="D51" s="70"/>
      <c r="E51" s="79">
        <v>45787.0</v>
      </c>
      <c r="F51" s="70"/>
      <c r="G51" s="79">
        <v>45794.0</v>
      </c>
      <c r="H51" s="70"/>
    </row>
    <row r="52">
      <c r="A52" s="73"/>
      <c r="B52" s="74">
        <f>SUM(B46:B51)</f>
        <v>168000</v>
      </c>
      <c r="C52" s="73"/>
      <c r="D52" s="74">
        <f>SUM(D46:D51)</f>
        <v>168000</v>
      </c>
      <c r="E52" s="73"/>
      <c r="F52" s="74">
        <f>SUM(F46:F51)</f>
        <v>168000</v>
      </c>
      <c r="G52" s="73"/>
      <c r="H52" s="74">
        <f>SUM(H46:H51)</f>
        <v>168000</v>
      </c>
      <c r="I52" s="57">
        <v>4.0</v>
      </c>
    </row>
    <row r="53">
      <c r="A53" s="25"/>
      <c r="B53" s="62"/>
      <c r="C53" s="25"/>
      <c r="D53" s="62"/>
      <c r="E53" s="25"/>
      <c r="F53" s="62"/>
      <c r="G53" s="25"/>
      <c r="H53" s="62"/>
      <c r="I53" s="77">
        <v>1.0</v>
      </c>
    </row>
    <row r="54">
      <c r="A54" s="7"/>
    </row>
    <row r="55">
      <c r="A55" s="76"/>
      <c r="B55" s="76"/>
      <c r="C55" s="76"/>
      <c r="D55" s="76"/>
      <c r="E55" s="76"/>
      <c r="F55" s="76"/>
      <c r="G55" s="76"/>
      <c r="H55" s="76"/>
      <c r="I55" s="76"/>
    </row>
    <row r="56">
      <c r="A56" s="66">
        <v>45796.0</v>
      </c>
      <c r="B56" s="81">
        <v>168000.0</v>
      </c>
      <c r="C56" s="66">
        <v>45803.0</v>
      </c>
      <c r="D56" s="81">
        <v>168000.0</v>
      </c>
      <c r="E56" s="66">
        <v>45810.0</v>
      </c>
      <c r="F56" s="81">
        <v>168000.0</v>
      </c>
      <c r="G56" s="66">
        <v>45817.0</v>
      </c>
      <c r="H56" s="82">
        <v>168000.0</v>
      </c>
      <c r="I56" s="80">
        <f>B62+D62+F62+H62</f>
        <v>672000</v>
      </c>
    </row>
    <row r="57">
      <c r="A57" s="66">
        <v>45797.0</v>
      </c>
      <c r="B57" s="83"/>
      <c r="C57" s="66">
        <v>45804.0</v>
      </c>
      <c r="D57" s="84"/>
      <c r="E57" s="66">
        <v>45811.0</v>
      </c>
      <c r="F57" s="84"/>
      <c r="G57" s="66">
        <v>45818.0</v>
      </c>
      <c r="H57" s="84"/>
    </row>
    <row r="58">
      <c r="A58" s="66">
        <v>45798.0</v>
      </c>
      <c r="B58" s="83"/>
      <c r="C58" s="66">
        <v>45805.0</v>
      </c>
      <c r="D58" s="84"/>
      <c r="E58" s="66">
        <v>45812.0</v>
      </c>
      <c r="F58" s="84"/>
      <c r="G58" s="66">
        <v>45819.0</v>
      </c>
      <c r="H58" s="84"/>
    </row>
    <row r="59">
      <c r="A59" s="66">
        <v>45799.0</v>
      </c>
      <c r="B59" s="83"/>
      <c r="C59" s="66">
        <v>45806.0</v>
      </c>
      <c r="D59" s="85"/>
      <c r="E59" s="66">
        <v>45813.0</v>
      </c>
      <c r="F59" s="70"/>
      <c r="G59" s="66">
        <v>45820.0</v>
      </c>
      <c r="H59" s="84"/>
    </row>
    <row r="60">
      <c r="A60" s="66">
        <v>45800.0</v>
      </c>
      <c r="B60" s="83"/>
      <c r="C60" s="66">
        <v>45807.0</v>
      </c>
      <c r="D60" s="84"/>
      <c r="E60" s="66">
        <v>45814.0</v>
      </c>
      <c r="F60" s="84"/>
      <c r="G60" s="66">
        <v>45821.0</v>
      </c>
      <c r="H60" s="84"/>
    </row>
    <row r="61">
      <c r="A61" s="66">
        <v>45801.0</v>
      </c>
      <c r="B61" s="83"/>
      <c r="C61" s="66">
        <v>45808.0</v>
      </c>
      <c r="D61" s="84"/>
      <c r="E61" s="66">
        <v>45815.0</v>
      </c>
      <c r="F61" s="84"/>
      <c r="G61" s="66">
        <v>45822.0</v>
      </c>
      <c r="H61" s="84"/>
    </row>
    <row r="62">
      <c r="A62" s="73"/>
      <c r="B62" s="74">
        <f>SUM(B56:B61)</f>
        <v>168000</v>
      </c>
      <c r="C62" s="73"/>
      <c r="D62" s="74">
        <f>SUM(D56:D61)</f>
        <v>168000</v>
      </c>
      <c r="E62" s="73"/>
      <c r="F62" s="74">
        <f>SUM(F56:F61)</f>
        <v>168000</v>
      </c>
      <c r="G62" s="73"/>
      <c r="H62" s="74">
        <f>SUM(H56:H61)</f>
        <v>168000</v>
      </c>
      <c r="I62" s="57">
        <v>5.0</v>
      </c>
    </row>
    <row r="63">
      <c r="A63" s="25"/>
      <c r="B63" s="62"/>
      <c r="C63" s="25"/>
      <c r="D63" s="62"/>
      <c r="E63" s="25"/>
      <c r="F63" s="62"/>
      <c r="G63" s="25"/>
      <c r="H63" s="62"/>
      <c r="I63" s="77">
        <v>1.0</v>
      </c>
    </row>
    <row r="64">
      <c r="A64" s="76"/>
      <c r="B64" s="76"/>
      <c r="C64" s="76"/>
      <c r="D64" s="76"/>
      <c r="E64" s="76"/>
      <c r="F64" s="76"/>
      <c r="G64" s="76"/>
      <c r="H64" s="76"/>
      <c r="I64" s="76"/>
    </row>
    <row r="65">
      <c r="A65" s="66">
        <v>45824.0</v>
      </c>
      <c r="B65" s="81">
        <v>168000.0</v>
      </c>
      <c r="C65" s="66">
        <v>45831.0</v>
      </c>
      <c r="D65" s="81">
        <v>168000.0</v>
      </c>
      <c r="E65" s="66">
        <v>45838.0</v>
      </c>
      <c r="F65" s="81">
        <v>168000.0</v>
      </c>
      <c r="G65" s="66">
        <v>45845.0</v>
      </c>
      <c r="H65" s="82">
        <v>168000.0</v>
      </c>
      <c r="I65" s="80">
        <f>B71+D71+F71+H71</f>
        <v>672000</v>
      </c>
    </row>
    <row r="66">
      <c r="A66" s="66">
        <v>45825.0</v>
      </c>
      <c r="B66" s="83"/>
      <c r="C66" s="66">
        <v>45832.0</v>
      </c>
      <c r="D66" s="84"/>
      <c r="E66" s="66">
        <v>45839.0</v>
      </c>
      <c r="F66" s="84"/>
      <c r="G66" s="66">
        <v>45846.0</v>
      </c>
      <c r="H66" s="84"/>
    </row>
    <row r="67">
      <c r="A67" s="66">
        <v>45826.0</v>
      </c>
      <c r="B67" s="83"/>
      <c r="C67" s="66">
        <v>45833.0</v>
      </c>
      <c r="D67" s="84"/>
      <c r="E67" s="66">
        <v>45840.0</v>
      </c>
      <c r="F67" s="84"/>
      <c r="G67" s="66">
        <v>45847.0</v>
      </c>
      <c r="H67" s="84"/>
    </row>
    <row r="68">
      <c r="A68" s="66">
        <v>45827.0</v>
      </c>
      <c r="B68" s="83"/>
      <c r="C68" s="66">
        <v>45834.0</v>
      </c>
      <c r="D68" s="85"/>
      <c r="E68" s="66">
        <v>45841.0</v>
      </c>
      <c r="F68" s="70"/>
      <c r="G68" s="66">
        <v>45848.0</v>
      </c>
      <c r="H68" s="84"/>
    </row>
    <row r="69">
      <c r="A69" s="66">
        <v>45828.0</v>
      </c>
      <c r="B69" s="83"/>
      <c r="C69" s="66">
        <v>45835.0</v>
      </c>
      <c r="D69" s="84"/>
      <c r="E69" s="66">
        <v>45842.0</v>
      </c>
      <c r="F69" s="84"/>
      <c r="G69" s="66">
        <v>45849.0</v>
      </c>
      <c r="H69" s="84"/>
    </row>
    <row r="70">
      <c r="A70" s="66">
        <v>45829.0</v>
      </c>
      <c r="B70" s="83"/>
      <c r="C70" s="66">
        <v>45836.0</v>
      </c>
      <c r="D70" s="84"/>
      <c r="E70" s="66">
        <v>45843.0</v>
      </c>
      <c r="F70" s="84"/>
      <c r="G70" s="66">
        <v>45850.0</v>
      </c>
      <c r="H70" s="84"/>
    </row>
    <row r="71">
      <c r="A71" s="73"/>
      <c r="B71" s="74">
        <f>SUM(B65:B70)</f>
        <v>168000</v>
      </c>
      <c r="C71" s="73"/>
      <c r="D71" s="74">
        <f>SUM(D65:D70)</f>
        <v>168000</v>
      </c>
      <c r="E71" s="73"/>
      <c r="F71" s="74">
        <f>SUM(F65:F70)</f>
        <v>168000</v>
      </c>
      <c r="G71" s="73"/>
      <c r="H71" s="74">
        <f>SUM(H65:H70)</f>
        <v>168000</v>
      </c>
      <c r="I71" s="57">
        <v>6.0</v>
      </c>
    </row>
    <row r="72">
      <c r="A72" s="61"/>
      <c r="B72" s="62"/>
      <c r="C72" s="61"/>
      <c r="D72" s="62"/>
      <c r="E72" s="61"/>
      <c r="F72" s="62"/>
      <c r="G72" s="61"/>
      <c r="H72" s="62"/>
      <c r="I72" s="86">
        <v>1.0</v>
      </c>
    </row>
    <row r="73">
      <c r="A73" s="43"/>
    </row>
    <row r="74">
      <c r="A74" s="76"/>
      <c r="B74" s="76"/>
      <c r="C74" s="76"/>
      <c r="D74" s="76"/>
      <c r="E74" s="76"/>
      <c r="F74" s="76"/>
      <c r="G74" s="76"/>
      <c r="H74" s="76"/>
      <c r="I74" s="76"/>
    </row>
    <row r="75">
      <c r="A75" s="66">
        <v>45852.0</v>
      </c>
      <c r="B75" s="81">
        <v>168000.0</v>
      </c>
      <c r="C75" s="66">
        <v>45859.0</v>
      </c>
      <c r="D75" s="87">
        <v>168000.0</v>
      </c>
      <c r="E75" s="66">
        <v>45866.0</v>
      </c>
      <c r="F75" s="87">
        <v>168000.0</v>
      </c>
      <c r="G75" s="66">
        <v>45873.0</v>
      </c>
      <c r="H75" s="87">
        <v>168000.0</v>
      </c>
      <c r="I75" s="80">
        <f>B81+D81+F81+H81</f>
        <v>672000</v>
      </c>
    </row>
    <row r="76">
      <c r="A76" s="66">
        <v>45853.0</v>
      </c>
      <c r="B76" s="83"/>
      <c r="C76" s="66">
        <v>45860.0</v>
      </c>
      <c r="D76" s="70"/>
      <c r="E76" s="66">
        <v>45867.0</v>
      </c>
      <c r="F76" s="70"/>
      <c r="G76" s="66">
        <v>45874.0</v>
      </c>
      <c r="H76" s="70"/>
    </row>
    <row r="77">
      <c r="A77" s="66">
        <v>45854.0</v>
      </c>
      <c r="B77" s="83"/>
      <c r="C77" s="66">
        <v>45861.0</v>
      </c>
      <c r="D77" s="70"/>
      <c r="E77" s="66">
        <v>45868.0</v>
      </c>
      <c r="F77" s="70"/>
      <c r="G77" s="66">
        <v>45875.0</v>
      </c>
      <c r="H77" s="70"/>
    </row>
    <row r="78">
      <c r="A78" s="66">
        <v>45855.0</v>
      </c>
      <c r="B78" s="83"/>
      <c r="C78" s="66">
        <v>45862.0</v>
      </c>
      <c r="D78" s="85"/>
      <c r="E78" s="66">
        <v>45869.0</v>
      </c>
      <c r="F78" s="70"/>
      <c r="G78" s="66">
        <v>45876.0</v>
      </c>
      <c r="H78" s="70"/>
    </row>
    <row r="79">
      <c r="A79" s="66">
        <v>45856.0</v>
      </c>
      <c r="B79" s="83"/>
      <c r="C79" s="66">
        <v>45863.0</v>
      </c>
      <c r="D79" s="70"/>
      <c r="E79" s="66">
        <v>45870.0</v>
      </c>
      <c r="F79" s="70"/>
      <c r="G79" s="66">
        <v>45877.0</v>
      </c>
      <c r="H79" s="70"/>
    </row>
    <row r="80">
      <c r="A80" s="66">
        <v>45857.0</v>
      </c>
      <c r="B80" s="83"/>
      <c r="C80" s="66">
        <v>45864.0</v>
      </c>
      <c r="D80" s="70"/>
      <c r="E80" s="66">
        <v>45871.0</v>
      </c>
      <c r="F80" s="70"/>
      <c r="G80" s="66">
        <v>45878.0</v>
      </c>
      <c r="H80" s="70"/>
    </row>
    <row r="81">
      <c r="A81" s="73"/>
      <c r="B81" s="74">
        <f>SUM(B75:B80)</f>
        <v>168000</v>
      </c>
      <c r="C81" s="73"/>
      <c r="D81" s="74">
        <f>SUM(D75:D80)</f>
        <v>168000</v>
      </c>
      <c r="E81" s="73"/>
      <c r="F81" s="74">
        <f>SUM(F75:F80)</f>
        <v>168000</v>
      </c>
      <c r="G81" s="73"/>
      <c r="H81" s="74">
        <f>SUM(H75:H80)</f>
        <v>168000</v>
      </c>
      <c r="I81" s="57">
        <v>7.0</v>
      </c>
    </row>
    <row r="82">
      <c r="A82" s="25"/>
      <c r="B82" s="62"/>
      <c r="C82" s="25"/>
      <c r="D82" s="62"/>
      <c r="E82" s="25"/>
      <c r="F82" s="62"/>
      <c r="G82" s="25"/>
      <c r="H82" s="62"/>
      <c r="I82" s="63">
        <v>1.0</v>
      </c>
    </row>
    <row r="83">
      <c r="A83" s="76"/>
      <c r="B83" s="76"/>
      <c r="C83" s="76"/>
      <c r="D83" s="76"/>
      <c r="E83" s="76"/>
      <c r="F83" s="76"/>
      <c r="G83" s="76"/>
      <c r="H83" s="76"/>
      <c r="I83" s="76"/>
    </row>
    <row r="84">
      <c r="A84" s="66">
        <v>45880.0</v>
      </c>
      <c r="B84" s="81">
        <v>168000.0</v>
      </c>
      <c r="C84" s="66">
        <v>45887.0</v>
      </c>
      <c r="D84" s="81">
        <v>168000.0</v>
      </c>
      <c r="E84" s="66">
        <v>45894.0</v>
      </c>
      <c r="F84" s="81">
        <v>168000.0</v>
      </c>
      <c r="G84" s="66">
        <v>45901.0</v>
      </c>
      <c r="H84" s="81">
        <v>168000.0</v>
      </c>
      <c r="I84" s="80">
        <f>B90+D90+F90+H90</f>
        <v>672000</v>
      </c>
    </row>
    <row r="85">
      <c r="A85" s="66">
        <v>45881.0</v>
      </c>
      <c r="B85" s="83"/>
      <c r="C85" s="66">
        <v>45888.0</v>
      </c>
      <c r="D85" s="83"/>
      <c r="E85" s="66">
        <v>45895.0</v>
      </c>
      <c r="F85" s="84"/>
      <c r="G85" s="66">
        <v>45902.0</v>
      </c>
      <c r="H85" s="84"/>
    </row>
    <row r="86">
      <c r="A86" s="66">
        <v>45882.0</v>
      </c>
      <c r="B86" s="83"/>
      <c r="C86" s="66">
        <v>45889.0</v>
      </c>
      <c r="D86" s="83"/>
      <c r="E86" s="66">
        <v>45896.0</v>
      </c>
      <c r="F86" s="84"/>
      <c r="G86" s="66">
        <v>45903.0</v>
      </c>
      <c r="H86" s="84"/>
    </row>
    <row r="87">
      <c r="A87" s="66">
        <v>45883.0</v>
      </c>
      <c r="B87" s="83"/>
      <c r="C87" s="66">
        <v>45890.0</v>
      </c>
      <c r="D87" s="83"/>
      <c r="E87" s="66">
        <v>45897.0</v>
      </c>
      <c r="F87" s="70"/>
      <c r="G87" s="66">
        <v>45904.0</v>
      </c>
      <c r="H87" s="84"/>
    </row>
    <row r="88">
      <c r="A88" s="66">
        <v>45884.0</v>
      </c>
      <c r="B88" s="83"/>
      <c r="C88" s="66">
        <v>45891.0</v>
      </c>
      <c r="D88" s="83"/>
      <c r="E88" s="66">
        <v>45898.0</v>
      </c>
      <c r="F88" s="84"/>
      <c r="G88" s="66">
        <v>45905.0</v>
      </c>
      <c r="H88" s="84"/>
    </row>
    <row r="89">
      <c r="A89" s="66">
        <v>45885.0</v>
      </c>
      <c r="B89" s="83"/>
      <c r="C89" s="66">
        <v>45892.0</v>
      </c>
      <c r="D89" s="83"/>
      <c r="E89" s="66">
        <v>45899.0</v>
      </c>
      <c r="F89" s="84"/>
      <c r="G89" s="66">
        <v>45906.0</v>
      </c>
      <c r="H89" s="84"/>
    </row>
    <row r="90">
      <c r="A90" s="73"/>
      <c r="B90" s="74">
        <f>SUM(B84:B89)</f>
        <v>168000</v>
      </c>
      <c r="C90" s="73"/>
      <c r="D90" s="74">
        <f>SUM(D84:D89)</f>
        <v>168000</v>
      </c>
      <c r="E90" s="73"/>
      <c r="F90" s="74">
        <f>SUM(F84:F89)</f>
        <v>168000</v>
      </c>
      <c r="G90" s="73"/>
      <c r="H90" s="74">
        <f>SUM(H84:H89)</f>
        <v>168000</v>
      </c>
      <c r="I90" s="57">
        <v>8.0</v>
      </c>
    </row>
    <row r="91">
      <c r="A91" s="25"/>
      <c r="B91" s="62"/>
      <c r="C91" s="25"/>
      <c r="D91" s="62"/>
      <c r="E91" s="25"/>
      <c r="F91" s="62"/>
      <c r="G91" s="25"/>
      <c r="H91" s="62"/>
      <c r="I91" s="86">
        <v>1.0</v>
      </c>
    </row>
    <row r="92">
      <c r="A92" s="7"/>
    </row>
    <row r="93">
      <c r="A93" s="76"/>
      <c r="B93" s="76"/>
      <c r="C93" s="76"/>
      <c r="D93" s="76"/>
      <c r="E93" s="76"/>
      <c r="F93" s="76"/>
      <c r="G93" s="76"/>
      <c r="H93" s="76"/>
      <c r="I93" s="76"/>
    </row>
    <row r="94">
      <c r="A94" s="88">
        <v>45908.0</v>
      </c>
      <c r="B94" s="89">
        <v>168000.0</v>
      </c>
      <c r="C94" s="90">
        <v>45915.0</v>
      </c>
      <c r="D94" s="83"/>
      <c r="E94" s="90">
        <v>45922.0</v>
      </c>
      <c r="F94" s="83"/>
      <c r="G94" s="90">
        <v>45929.0</v>
      </c>
      <c r="H94" s="83"/>
      <c r="I94" s="80">
        <f>B100+D100+F100+H100</f>
        <v>672000</v>
      </c>
    </row>
    <row r="95">
      <c r="A95" s="88">
        <v>45909.0</v>
      </c>
      <c r="B95" s="83"/>
      <c r="C95" s="90">
        <v>45916.0</v>
      </c>
      <c r="D95" s="83"/>
      <c r="E95" s="90">
        <v>45923.0</v>
      </c>
      <c r="F95" s="84"/>
      <c r="G95" s="90">
        <v>45930.0</v>
      </c>
      <c r="H95" s="84"/>
    </row>
    <row r="96">
      <c r="A96" s="88">
        <v>45910.0</v>
      </c>
      <c r="B96" s="83"/>
      <c r="C96" s="90">
        <v>45917.0</v>
      </c>
      <c r="D96" s="89">
        <v>168000.0</v>
      </c>
      <c r="E96" s="90">
        <v>45924.0</v>
      </c>
      <c r="F96" s="89">
        <v>168000.0</v>
      </c>
      <c r="G96" s="90">
        <v>45931.0</v>
      </c>
      <c r="H96" s="84"/>
    </row>
    <row r="97">
      <c r="A97" s="88">
        <v>45911.0</v>
      </c>
      <c r="B97" s="83"/>
      <c r="C97" s="90">
        <v>45918.0</v>
      </c>
      <c r="D97" s="83"/>
      <c r="E97" s="90">
        <v>45925.0</v>
      </c>
      <c r="F97" s="84"/>
      <c r="G97" s="90">
        <v>45932.0</v>
      </c>
      <c r="H97" s="89">
        <v>168000.0</v>
      </c>
    </row>
    <row r="98">
      <c r="A98" s="88">
        <v>45912.0</v>
      </c>
      <c r="B98" s="83"/>
      <c r="C98" s="90">
        <v>45919.0</v>
      </c>
      <c r="D98" s="83"/>
      <c r="E98" s="90">
        <v>45926.0</v>
      </c>
      <c r="F98" s="84"/>
      <c r="G98" s="90">
        <v>45933.0</v>
      </c>
      <c r="H98" s="84"/>
    </row>
    <row r="99">
      <c r="A99" s="88">
        <v>45913.0</v>
      </c>
      <c r="B99" s="83"/>
      <c r="C99" s="90">
        <v>45920.0</v>
      </c>
      <c r="D99" s="83"/>
      <c r="E99" s="90">
        <v>45927.0</v>
      </c>
      <c r="F99" s="84"/>
      <c r="G99" s="90">
        <v>45934.0</v>
      </c>
      <c r="H99" s="84"/>
    </row>
    <row r="100">
      <c r="A100" s="73"/>
      <c r="B100" s="74">
        <f>SUM(B94:B99)</f>
        <v>168000</v>
      </c>
      <c r="C100" s="73"/>
      <c r="D100" s="74">
        <f>SUM(D94:D99)</f>
        <v>168000</v>
      </c>
      <c r="E100" s="73"/>
      <c r="F100" s="74">
        <f>SUM(F94:F99)</f>
        <v>168000</v>
      </c>
      <c r="G100" s="73"/>
      <c r="H100" s="74">
        <f>SUM(H94:H99)</f>
        <v>168000</v>
      </c>
      <c r="I100" s="57">
        <v>9.0</v>
      </c>
    </row>
    <row r="101">
      <c r="A101" s="25"/>
      <c r="B101" s="62"/>
      <c r="C101" s="25"/>
      <c r="D101" s="62"/>
      <c r="E101" s="25"/>
      <c r="F101" s="62"/>
      <c r="G101" s="25"/>
      <c r="H101" s="62"/>
      <c r="I101" s="86">
        <v>1.0</v>
      </c>
    </row>
    <row r="102">
      <c r="A102" s="7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</row>
    <row r="104">
      <c r="A104" s="91">
        <v>45936.0</v>
      </c>
      <c r="B104" s="92"/>
      <c r="C104" s="93">
        <v>45943.0</v>
      </c>
      <c r="D104" s="83"/>
      <c r="E104" s="93">
        <v>45950.0</v>
      </c>
      <c r="F104" s="83"/>
      <c r="G104" s="93">
        <v>45957.0</v>
      </c>
      <c r="H104" s="83"/>
      <c r="I104" s="80">
        <f>B110+D110+F110+H110</f>
        <v>672000</v>
      </c>
    </row>
    <row r="105">
      <c r="A105" s="91">
        <v>45937.0</v>
      </c>
      <c r="B105" s="83"/>
      <c r="C105" s="93">
        <v>45944.0</v>
      </c>
      <c r="D105" s="83"/>
      <c r="E105" s="93">
        <v>45951.0</v>
      </c>
      <c r="F105" s="84"/>
      <c r="G105" s="93">
        <v>45958.0</v>
      </c>
      <c r="H105" s="84"/>
    </row>
    <row r="106">
      <c r="A106" s="91">
        <v>45938.0</v>
      </c>
      <c r="B106" s="94">
        <v>168000.0</v>
      </c>
      <c r="C106" s="93">
        <v>45945.0</v>
      </c>
      <c r="D106" s="95">
        <v>168000.0</v>
      </c>
      <c r="E106" s="93">
        <v>45952.0</v>
      </c>
      <c r="F106" s="92"/>
      <c r="G106" s="93">
        <v>45959.0</v>
      </c>
      <c r="H106" s="84"/>
    </row>
    <row r="107">
      <c r="A107" s="91">
        <v>45939.0</v>
      </c>
      <c r="B107" s="83"/>
      <c r="C107" s="93">
        <v>45946.0</v>
      </c>
      <c r="D107" s="83"/>
      <c r="E107" s="93">
        <v>45953.0</v>
      </c>
      <c r="F107" s="95">
        <v>168000.0</v>
      </c>
      <c r="G107" s="93">
        <v>45960.0</v>
      </c>
      <c r="H107" s="95">
        <v>168000.0</v>
      </c>
    </row>
    <row r="108">
      <c r="A108" s="91">
        <v>45940.0</v>
      </c>
      <c r="B108" s="83"/>
      <c r="C108" s="93">
        <v>45947.0</v>
      </c>
      <c r="D108" s="83"/>
      <c r="E108" s="93">
        <v>45954.0</v>
      </c>
      <c r="F108" s="84"/>
      <c r="G108" s="93">
        <v>45961.0</v>
      </c>
      <c r="H108" s="84"/>
    </row>
    <row r="109">
      <c r="A109" s="91">
        <v>45941.0</v>
      </c>
      <c r="B109" s="83"/>
      <c r="C109" s="93">
        <v>45948.0</v>
      </c>
      <c r="D109" s="83"/>
      <c r="E109" s="93">
        <v>45955.0</v>
      </c>
      <c r="F109" s="84"/>
      <c r="G109" s="93">
        <v>45962.0</v>
      </c>
      <c r="H109" s="84"/>
    </row>
    <row r="110">
      <c r="A110" s="73"/>
      <c r="B110" s="74">
        <f>SUM(B104:B109)</f>
        <v>168000</v>
      </c>
      <c r="C110" s="73"/>
      <c r="D110" s="74">
        <f>SUM(D104:D109)</f>
        <v>168000</v>
      </c>
      <c r="E110" s="73"/>
      <c r="F110" s="74">
        <f>SUM(F104:F109)</f>
        <v>168000</v>
      </c>
      <c r="G110" s="73"/>
      <c r="H110" s="74">
        <f>SUM(H104:H109)</f>
        <v>168000</v>
      </c>
      <c r="I110" s="57">
        <v>10.0</v>
      </c>
    </row>
    <row r="111">
      <c r="A111" s="25"/>
      <c r="B111" s="62"/>
      <c r="C111" s="25"/>
      <c r="D111" s="62"/>
      <c r="E111" s="25"/>
      <c r="F111" s="62"/>
      <c r="G111" s="25"/>
      <c r="H111" s="62"/>
      <c r="I111" s="86">
        <v>1.0</v>
      </c>
    </row>
    <row r="112">
      <c r="A112" s="7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</row>
    <row r="114">
      <c r="A114" s="93">
        <v>45964.0</v>
      </c>
      <c r="B114" s="95">
        <v>168000.0</v>
      </c>
      <c r="C114" s="93">
        <v>45971.0</v>
      </c>
      <c r="D114" s="95">
        <v>168000.0</v>
      </c>
      <c r="E114" s="93">
        <v>45978.0</v>
      </c>
      <c r="F114" s="95">
        <v>168000.0</v>
      </c>
      <c r="G114" s="93">
        <v>45985.0</v>
      </c>
      <c r="H114" s="96" t="s">
        <v>39</v>
      </c>
      <c r="I114" s="80">
        <f>B120+D120+F120+H120</f>
        <v>504000</v>
      </c>
    </row>
    <row r="115">
      <c r="A115" s="93">
        <v>45965.0</v>
      </c>
      <c r="B115" s="83"/>
      <c r="C115" s="93">
        <v>45972.0</v>
      </c>
      <c r="D115" s="83"/>
      <c r="E115" s="93">
        <v>45979.0</v>
      </c>
      <c r="F115" s="84"/>
      <c r="G115" s="93">
        <v>45986.0</v>
      </c>
    </row>
    <row r="116">
      <c r="A116" s="93">
        <v>45966.0</v>
      </c>
      <c r="B116" s="92"/>
      <c r="C116" s="93">
        <v>45973.0</v>
      </c>
      <c r="D116" s="92"/>
      <c r="E116" s="93">
        <v>45980.0</v>
      </c>
      <c r="F116" s="92"/>
      <c r="G116" s="93">
        <v>45987.0</v>
      </c>
    </row>
    <row r="117">
      <c r="A117" s="93">
        <v>45967.0</v>
      </c>
      <c r="B117" s="83"/>
      <c r="C117" s="93">
        <v>45974.0</v>
      </c>
      <c r="D117" s="83"/>
      <c r="E117" s="93">
        <v>45981.0</v>
      </c>
      <c r="F117" s="92"/>
      <c r="G117" s="93">
        <v>45988.0</v>
      </c>
    </row>
    <row r="118">
      <c r="A118" s="93">
        <v>45968.0</v>
      </c>
      <c r="B118" s="83"/>
      <c r="C118" s="93">
        <v>45975.0</v>
      </c>
      <c r="D118" s="83"/>
      <c r="E118" s="93">
        <v>45982.0</v>
      </c>
      <c r="F118" s="84"/>
      <c r="G118" s="93">
        <v>45989.0</v>
      </c>
    </row>
    <row r="119">
      <c r="A119" s="93">
        <v>45969.0</v>
      </c>
      <c r="B119" s="83"/>
      <c r="C119" s="93">
        <v>45976.0</v>
      </c>
      <c r="D119" s="83"/>
      <c r="E119" s="93">
        <v>45983.0</v>
      </c>
      <c r="F119" s="84"/>
      <c r="G119" s="93">
        <v>45990.0</v>
      </c>
    </row>
    <row r="120">
      <c r="A120" s="73"/>
      <c r="B120" s="74">
        <f>SUM(B114:B119)</f>
        <v>168000</v>
      </c>
      <c r="C120" s="73"/>
      <c r="D120" s="74">
        <f>SUM(D114:D119)</f>
        <v>168000</v>
      </c>
      <c r="E120" s="73"/>
      <c r="F120" s="74">
        <f>SUM(F114:F119)</f>
        <v>168000</v>
      </c>
      <c r="G120" s="73"/>
      <c r="H120" s="74">
        <f>SUM(H114:H119)</f>
        <v>0</v>
      </c>
      <c r="I120" s="97">
        <v>11.0</v>
      </c>
    </row>
    <row r="121">
      <c r="A121" s="25"/>
      <c r="B121" s="62"/>
      <c r="C121" s="25"/>
      <c r="D121" s="62"/>
      <c r="E121" s="25"/>
      <c r="F121" s="62"/>
      <c r="G121" s="25"/>
      <c r="H121" s="62"/>
      <c r="I121" s="86">
        <v>1.0</v>
      </c>
    </row>
    <row r="122">
      <c r="A122" s="7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</row>
    <row r="124">
      <c r="A124" s="93">
        <v>45992.0</v>
      </c>
      <c r="B124" s="95">
        <v>168000.0</v>
      </c>
      <c r="C124" s="93">
        <v>45999.0</v>
      </c>
      <c r="D124" s="95">
        <v>168000.0</v>
      </c>
      <c r="E124" s="93">
        <v>46006.0</v>
      </c>
      <c r="F124" s="95">
        <v>168000.0</v>
      </c>
      <c r="G124" s="93">
        <v>46013.0</v>
      </c>
      <c r="H124" s="95">
        <v>168000.0</v>
      </c>
      <c r="I124" s="80">
        <f>B130+D130+F130+H130</f>
        <v>672000</v>
      </c>
    </row>
    <row r="125">
      <c r="A125" s="93">
        <v>45993.0</v>
      </c>
      <c r="B125" s="83"/>
      <c r="C125" s="93">
        <v>46000.0</v>
      </c>
      <c r="D125" s="83"/>
      <c r="E125" s="93">
        <v>46007.0</v>
      </c>
      <c r="F125" s="84"/>
      <c r="G125" s="93">
        <v>46014.0</v>
      </c>
      <c r="H125" s="84"/>
    </row>
    <row r="126">
      <c r="A126" s="93">
        <v>45994.0</v>
      </c>
      <c r="B126" s="92"/>
      <c r="C126" s="93">
        <v>46001.0</v>
      </c>
      <c r="D126" s="92"/>
      <c r="E126" s="93">
        <v>46008.0</v>
      </c>
      <c r="F126" s="92"/>
      <c r="G126" s="93">
        <v>46015.0</v>
      </c>
      <c r="H126" s="84"/>
    </row>
    <row r="127">
      <c r="A127" s="93">
        <v>45995.0</v>
      </c>
      <c r="B127" s="83"/>
      <c r="C127" s="93">
        <v>46002.0</v>
      </c>
      <c r="D127" s="83"/>
      <c r="E127" s="93">
        <v>46009.0</v>
      </c>
      <c r="F127" s="92"/>
      <c r="G127" s="93">
        <v>46016.0</v>
      </c>
      <c r="H127" s="92"/>
    </row>
    <row r="128">
      <c r="A128" s="93">
        <v>45996.0</v>
      </c>
      <c r="B128" s="83"/>
      <c r="C128" s="93">
        <v>46003.0</v>
      </c>
      <c r="D128" s="83"/>
      <c r="E128" s="93">
        <v>46010.0</v>
      </c>
      <c r="F128" s="84"/>
      <c r="G128" s="93">
        <v>46017.0</v>
      </c>
      <c r="H128" s="84"/>
    </row>
    <row r="129">
      <c r="A129" s="93">
        <v>45997.0</v>
      </c>
      <c r="B129" s="83"/>
      <c r="C129" s="93">
        <v>46004.0</v>
      </c>
      <c r="D129" s="83"/>
      <c r="E129" s="93">
        <v>46011.0</v>
      </c>
      <c r="F129" s="84"/>
      <c r="G129" s="93">
        <v>46018.0</v>
      </c>
      <c r="H129" s="84"/>
    </row>
    <row r="130">
      <c r="A130" s="73"/>
      <c r="B130" s="74">
        <f>SUM(B124:B129)</f>
        <v>168000</v>
      </c>
      <c r="C130" s="73"/>
      <c r="D130" s="74">
        <f>SUM(D124:D129)</f>
        <v>168000</v>
      </c>
      <c r="E130" s="73"/>
      <c r="F130" s="74">
        <f>SUM(F124:F129)</f>
        <v>168000</v>
      </c>
      <c r="G130" s="73"/>
      <c r="H130" s="74">
        <f>SUM(H124:H129)</f>
        <v>168000</v>
      </c>
      <c r="I130" s="57">
        <v>12.0</v>
      </c>
    </row>
    <row r="131">
      <c r="A131" s="25"/>
      <c r="B131" s="62"/>
      <c r="C131" s="25"/>
      <c r="D131" s="62"/>
      <c r="E131" s="25"/>
      <c r="F131" s="62"/>
      <c r="G131" s="25"/>
      <c r="H131" s="62"/>
      <c r="I131" s="86">
        <v>1.0</v>
      </c>
    </row>
    <row r="132">
      <c r="A132" s="7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</row>
    <row r="134">
      <c r="A134" s="93">
        <v>46020.0</v>
      </c>
      <c r="B134" s="95">
        <v>168000.0</v>
      </c>
      <c r="C134" s="93">
        <v>46027.0</v>
      </c>
      <c r="D134" s="95">
        <v>168000.0</v>
      </c>
      <c r="E134" s="93">
        <v>46034.0</v>
      </c>
      <c r="F134" s="95">
        <v>168000.0</v>
      </c>
      <c r="G134" s="93">
        <v>46041.0</v>
      </c>
      <c r="H134" s="95">
        <v>168000.0</v>
      </c>
      <c r="I134" s="80">
        <f>B140+D140+F140+H140</f>
        <v>672000</v>
      </c>
    </row>
    <row r="135">
      <c r="A135" s="93">
        <v>46021.0</v>
      </c>
      <c r="B135" s="83"/>
      <c r="C135" s="93">
        <v>46028.0</v>
      </c>
      <c r="D135" s="83"/>
      <c r="E135" s="93">
        <v>46035.0</v>
      </c>
      <c r="F135" s="84"/>
      <c r="G135" s="93">
        <v>46042.0</v>
      </c>
      <c r="H135" s="84"/>
    </row>
    <row r="136">
      <c r="A136" s="93">
        <v>46022.0</v>
      </c>
      <c r="B136" s="92"/>
      <c r="C136" s="93">
        <v>46029.0</v>
      </c>
      <c r="D136" s="92"/>
      <c r="E136" s="93">
        <v>46036.0</v>
      </c>
      <c r="F136" s="92"/>
      <c r="G136" s="93">
        <v>46043.0</v>
      </c>
      <c r="H136" s="84"/>
    </row>
    <row r="137">
      <c r="A137" s="93">
        <v>46023.0</v>
      </c>
      <c r="B137" s="83"/>
      <c r="C137" s="93">
        <v>46030.0</v>
      </c>
      <c r="D137" s="83"/>
      <c r="E137" s="93">
        <v>46037.0</v>
      </c>
      <c r="F137" s="92"/>
      <c r="G137" s="93">
        <v>46044.0</v>
      </c>
      <c r="H137" s="92"/>
    </row>
    <row r="138">
      <c r="A138" s="93">
        <v>46024.0</v>
      </c>
      <c r="B138" s="83"/>
      <c r="C138" s="93">
        <v>46031.0</v>
      </c>
      <c r="D138" s="83"/>
      <c r="E138" s="93">
        <v>46038.0</v>
      </c>
      <c r="F138" s="84"/>
      <c r="G138" s="93">
        <v>46045.0</v>
      </c>
      <c r="H138" s="84"/>
    </row>
    <row r="139">
      <c r="A139" s="93">
        <v>46025.0</v>
      </c>
      <c r="B139" s="83"/>
      <c r="C139" s="93">
        <v>46032.0</v>
      </c>
      <c r="D139" s="83"/>
      <c r="E139" s="93">
        <v>46039.0</v>
      </c>
      <c r="F139" s="84"/>
      <c r="G139" s="93">
        <v>46046.0</v>
      </c>
      <c r="H139" s="84"/>
    </row>
    <row r="140">
      <c r="A140" s="73"/>
      <c r="B140" s="74">
        <f>SUM(B134:B139)</f>
        <v>168000</v>
      </c>
      <c r="C140" s="73"/>
      <c r="D140" s="74">
        <f>SUM(D134:D139)</f>
        <v>168000</v>
      </c>
      <c r="E140" s="73"/>
      <c r="F140" s="74">
        <f>SUM(F134:F139)</f>
        <v>168000</v>
      </c>
      <c r="G140" s="73"/>
      <c r="H140" s="74">
        <f>SUM(H134:H139)</f>
        <v>168000</v>
      </c>
      <c r="I140" s="57">
        <v>13.0</v>
      </c>
    </row>
    <row r="141">
      <c r="A141" s="25"/>
      <c r="B141" s="62"/>
      <c r="C141" s="25"/>
      <c r="D141" s="62"/>
      <c r="E141" s="25"/>
      <c r="F141" s="62"/>
      <c r="G141" s="25"/>
      <c r="H141" s="98"/>
      <c r="I141" s="86">
        <v>1.0</v>
      </c>
    </row>
    <row r="142">
      <c r="A142" s="7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</row>
    <row r="144">
      <c r="A144" s="93">
        <v>46048.0</v>
      </c>
      <c r="B144" s="95">
        <v>168000.0</v>
      </c>
      <c r="C144" s="93">
        <v>46055.0</v>
      </c>
      <c r="D144" s="99">
        <v>168000.0</v>
      </c>
      <c r="E144" s="93">
        <v>46062.0</v>
      </c>
      <c r="F144" s="99">
        <v>168000.0</v>
      </c>
      <c r="G144" s="93">
        <v>46069.0</v>
      </c>
      <c r="H144" s="99">
        <v>168000.0</v>
      </c>
      <c r="I144" s="80">
        <f>B150+D150+F150+H150</f>
        <v>672000</v>
      </c>
    </row>
    <row r="145">
      <c r="A145" s="93">
        <v>46049.0</v>
      </c>
      <c r="B145" s="83"/>
      <c r="C145" s="93">
        <v>46056.0</v>
      </c>
      <c r="D145" s="83"/>
      <c r="E145" s="93">
        <v>46063.0</v>
      </c>
      <c r="F145" s="84"/>
      <c r="G145" s="93">
        <v>46070.0</v>
      </c>
      <c r="H145" s="84"/>
    </row>
    <row r="146">
      <c r="A146" s="93">
        <v>46050.0</v>
      </c>
      <c r="B146" s="92"/>
      <c r="C146" s="93">
        <v>46057.0</v>
      </c>
      <c r="D146" s="92"/>
      <c r="E146" s="93">
        <v>46064.0</v>
      </c>
      <c r="F146" s="92"/>
      <c r="G146" s="93">
        <v>46071.0</v>
      </c>
      <c r="H146" s="92"/>
    </row>
    <row r="147">
      <c r="A147" s="93">
        <v>46051.0</v>
      </c>
      <c r="B147" s="83"/>
      <c r="C147" s="93">
        <v>46058.0</v>
      </c>
      <c r="D147" s="83"/>
      <c r="E147" s="93">
        <v>46065.0</v>
      </c>
      <c r="F147" s="92"/>
      <c r="G147" s="93">
        <v>46072.0</v>
      </c>
      <c r="H147" s="92"/>
    </row>
    <row r="148">
      <c r="A148" s="93">
        <v>46052.0</v>
      </c>
      <c r="B148" s="83"/>
      <c r="C148" s="93">
        <v>46059.0</v>
      </c>
      <c r="D148" s="83"/>
      <c r="E148" s="93">
        <v>46066.0</v>
      </c>
      <c r="F148" s="84"/>
      <c r="G148" s="93">
        <v>46073.0</v>
      </c>
      <c r="H148" s="84"/>
    </row>
    <row r="149">
      <c r="A149" s="93">
        <v>46053.0</v>
      </c>
      <c r="B149" s="83"/>
      <c r="C149" s="93">
        <v>46060.0</v>
      </c>
      <c r="D149" s="83"/>
      <c r="E149" s="93">
        <v>46067.0</v>
      </c>
      <c r="F149" s="84"/>
      <c r="G149" s="93">
        <v>46074.0</v>
      </c>
      <c r="H149" s="84"/>
    </row>
    <row r="150">
      <c r="A150" s="73"/>
      <c r="B150" s="74">
        <f>SUM(B144:B149)</f>
        <v>168000</v>
      </c>
      <c r="C150" s="73"/>
      <c r="D150" s="74">
        <f>SUM(D144:D149)</f>
        <v>168000</v>
      </c>
      <c r="E150" s="73"/>
      <c r="F150" s="74">
        <f>SUM(F144:F149)</f>
        <v>168000</v>
      </c>
      <c r="G150" s="73"/>
      <c r="H150" s="74">
        <f>SUM(H144:H149)</f>
        <v>168000</v>
      </c>
      <c r="I150" s="57">
        <v>14.0</v>
      </c>
    </row>
    <row r="151">
      <c r="A151" s="25"/>
      <c r="B151" s="62"/>
      <c r="C151" s="25"/>
      <c r="D151" s="62"/>
      <c r="E151" s="25"/>
      <c r="F151" s="62"/>
      <c r="G151" s="25"/>
      <c r="H151" s="62"/>
      <c r="I151" s="86">
        <v>1.0</v>
      </c>
    </row>
    <row r="152">
      <c r="A152" s="7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</row>
    <row r="154">
      <c r="A154" s="100">
        <v>46076.0</v>
      </c>
      <c r="B154" s="99">
        <v>168000.0</v>
      </c>
      <c r="C154" s="100">
        <v>46083.0</v>
      </c>
      <c r="D154" s="99">
        <v>168000.0</v>
      </c>
      <c r="E154" s="100">
        <v>46090.0</v>
      </c>
      <c r="F154" s="99">
        <v>168000.0</v>
      </c>
      <c r="G154" s="100">
        <v>46097.0</v>
      </c>
      <c r="H154" s="99">
        <v>168000.0</v>
      </c>
      <c r="I154" s="80">
        <f>B160+D160+F160+H160</f>
        <v>672000</v>
      </c>
    </row>
    <row r="155">
      <c r="A155" s="100">
        <v>46077.0</v>
      </c>
      <c r="B155" s="84"/>
      <c r="C155" s="100">
        <v>46084.0</v>
      </c>
      <c r="D155" s="84"/>
      <c r="E155" s="100">
        <v>46091.0</v>
      </c>
      <c r="F155" s="84"/>
      <c r="G155" s="100">
        <v>46098.0</v>
      </c>
      <c r="H155" s="84"/>
    </row>
    <row r="156">
      <c r="A156" s="100">
        <v>46078.0</v>
      </c>
      <c r="B156" s="92"/>
      <c r="C156" s="100">
        <v>46085.0</v>
      </c>
      <c r="D156" s="92"/>
      <c r="E156" s="100">
        <v>46092.0</v>
      </c>
      <c r="F156" s="92"/>
      <c r="G156" s="100">
        <v>46099.0</v>
      </c>
      <c r="H156" s="84"/>
    </row>
    <row r="157">
      <c r="A157" s="100">
        <v>46079.0</v>
      </c>
      <c r="B157" s="92"/>
      <c r="C157" s="100">
        <v>46086.0</v>
      </c>
      <c r="D157" s="92"/>
      <c r="E157" s="100">
        <v>46093.0</v>
      </c>
      <c r="F157" s="92"/>
      <c r="G157" s="100">
        <v>46100.0</v>
      </c>
      <c r="H157" s="92"/>
    </row>
    <row r="158">
      <c r="A158" s="100">
        <v>46080.0</v>
      </c>
      <c r="B158" s="84"/>
      <c r="C158" s="100">
        <v>46087.0</v>
      </c>
      <c r="D158" s="84"/>
      <c r="E158" s="100">
        <v>46094.0</v>
      </c>
      <c r="F158" s="84"/>
      <c r="G158" s="100">
        <v>46101.0</v>
      </c>
      <c r="H158" s="84"/>
    </row>
    <row r="159">
      <c r="A159" s="100">
        <v>46081.0</v>
      </c>
      <c r="B159" s="84"/>
      <c r="C159" s="100">
        <v>46088.0</v>
      </c>
      <c r="D159" s="84"/>
      <c r="E159" s="100">
        <v>46095.0</v>
      </c>
      <c r="F159" s="84"/>
      <c r="G159" s="100">
        <v>46102.0</v>
      </c>
      <c r="H159" s="84"/>
    </row>
    <row r="160">
      <c r="A160" s="73"/>
      <c r="B160" s="74">
        <f>SUM(B154:B159)</f>
        <v>168000</v>
      </c>
      <c r="C160" s="73"/>
      <c r="D160" s="74">
        <f>SUM(D154:D159)</f>
        <v>168000</v>
      </c>
      <c r="E160" s="73"/>
      <c r="F160" s="74">
        <f>SUM(F154:F159)</f>
        <v>168000</v>
      </c>
      <c r="G160" s="73"/>
      <c r="H160" s="74">
        <f>SUM(H154:H159)</f>
        <v>168000</v>
      </c>
      <c r="I160" s="57">
        <v>15.0</v>
      </c>
    </row>
    <row r="161">
      <c r="A161" s="25"/>
      <c r="B161" s="62"/>
      <c r="C161" s="25"/>
      <c r="D161" s="62"/>
      <c r="E161" s="25"/>
      <c r="F161" s="62"/>
      <c r="G161" s="25"/>
      <c r="H161" s="98" t="s">
        <v>40</v>
      </c>
      <c r="I161" s="86">
        <v>1.0</v>
      </c>
    </row>
    <row r="162">
      <c r="A162" s="7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</row>
    <row r="164">
      <c r="A164" s="100">
        <v>46104.0</v>
      </c>
      <c r="B164" s="99">
        <v>168000.0</v>
      </c>
      <c r="C164" s="100">
        <v>46111.0</v>
      </c>
      <c r="D164" s="99">
        <v>168000.0</v>
      </c>
      <c r="E164" s="100">
        <v>46118.0</v>
      </c>
      <c r="F164" s="99">
        <v>168000.0</v>
      </c>
      <c r="G164" s="100">
        <v>46125.0</v>
      </c>
      <c r="H164" s="99">
        <v>168000.0</v>
      </c>
      <c r="I164" s="80">
        <f>B170+D170+F170+H170</f>
        <v>672000</v>
      </c>
    </row>
    <row r="165">
      <c r="A165" s="100">
        <v>46105.0</v>
      </c>
      <c r="B165" s="84"/>
      <c r="C165" s="100">
        <v>46112.0</v>
      </c>
      <c r="D165" s="42"/>
      <c r="E165" s="100">
        <v>46119.0</v>
      </c>
      <c r="F165" s="42"/>
      <c r="G165" s="100">
        <v>46126.0</v>
      </c>
      <c r="H165" s="42"/>
    </row>
    <row r="166">
      <c r="A166" s="100">
        <v>46106.0</v>
      </c>
      <c r="B166" s="84"/>
      <c r="C166" s="100">
        <v>46113.0</v>
      </c>
      <c r="D166" s="42"/>
      <c r="E166" s="100">
        <v>46120.0</v>
      </c>
      <c r="F166" s="42"/>
      <c r="G166" s="100">
        <v>46127.0</v>
      </c>
      <c r="H166" s="42"/>
    </row>
    <row r="167">
      <c r="A167" s="100">
        <v>46107.0</v>
      </c>
      <c r="B167" s="92"/>
      <c r="C167" s="100">
        <v>46114.0</v>
      </c>
      <c r="D167" s="42"/>
      <c r="E167" s="100">
        <v>46121.0</v>
      </c>
      <c r="F167" s="42"/>
      <c r="G167" s="100">
        <v>46128.0</v>
      </c>
      <c r="H167" s="42"/>
    </row>
    <row r="168">
      <c r="A168" s="100">
        <v>46108.0</v>
      </c>
      <c r="B168" s="84"/>
      <c r="C168" s="100">
        <v>46115.0</v>
      </c>
      <c r="D168" s="42"/>
      <c r="E168" s="100">
        <v>46122.0</v>
      </c>
      <c r="F168" s="42"/>
      <c r="G168" s="100">
        <v>46129.0</v>
      </c>
      <c r="H168" s="42"/>
    </row>
    <row r="169">
      <c r="A169" s="100">
        <v>46109.0</v>
      </c>
      <c r="B169" s="84"/>
      <c r="C169" s="100">
        <v>46116.0</v>
      </c>
      <c r="D169" s="42"/>
      <c r="E169" s="100">
        <v>46123.0</v>
      </c>
      <c r="F169" s="42"/>
      <c r="G169" s="100">
        <v>46130.0</v>
      </c>
      <c r="H169" s="42"/>
    </row>
    <row r="170">
      <c r="A170" s="73"/>
      <c r="B170" s="74">
        <f>SUM(B164:B169)</f>
        <v>168000</v>
      </c>
      <c r="C170" s="73"/>
      <c r="D170" s="74">
        <f>SUM(D164:D169)</f>
        <v>168000</v>
      </c>
      <c r="E170" s="73"/>
      <c r="F170" s="74">
        <f>SUM(F164:F169)</f>
        <v>168000</v>
      </c>
      <c r="G170" s="73"/>
      <c r="H170" s="74">
        <f>SUM(H164:H169)</f>
        <v>168000</v>
      </c>
      <c r="I170" s="57">
        <v>16.0</v>
      </c>
    </row>
    <row r="171">
      <c r="A171" s="25"/>
      <c r="B171" s="62"/>
      <c r="C171" s="25"/>
      <c r="D171" s="62"/>
      <c r="E171" s="25"/>
      <c r="F171" s="62"/>
      <c r="G171" s="25"/>
      <c r="H171" s="62"/>
      <c r="I171" s="86">
        <v>1.0</v>
      </c>
    </row>
    <row r="172">
      <c r="A172" s="7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</row>
    <row r="174">
      <c r="A174" s="100">
        <v>46132.0</v>
      </c>
      <c r="B174" s="99">
        <v>168000.0</v>
      </c>
      <c r="C174" s="100">
        <v>46139.0</v>
      </c>
      <c r="D174" s="99">
        <v>168000.0</v>
      </c>
      <c r="E174" s="100">
        <v>46146.0</v>
      </c>
      <c r="F174" s="99">
        <v>168000.0</v>
      </c>
      <c r="G174" s="100">
        <v>46153.0</v>
      </c>
      <c r="H174" s="99">
        <v>168000.0</v>
      </c>
      <c r="I174" s="80">
        <f>B180+D180+F180+H180</f>
        <v>672000</v>
      </c>
    </row>
    <row r="175">
      <c r="A175" s="100">
        <v>46133.0</v>
      </c>
      <c r="B175" s="42"/>
      <c r="C175" s="100">
        <v>46140.0</v>
      </c>
      <c r="D175" s="42"/>
      <c r="E175" s="100">
        <v>46147.0</v>
      </c>
      <c r="F175" s="42"/>
      <c r="G175" s="100">
        <v>46154.0</v>
      </c>
      <c r="H175" s="42"/>
    </row>
    <row r="176">
      <c r="A176" s="100">
        <v>46134.0</v>
      </c>
      <c r="B176" s="42"/>
      <c r="C176" s="100">
        <v>46141.0</v>
      </c>
      <c r="D176" s="42"/>
      <c r="E176" s="100">
        <v>46148.0</v>
      </c>
      <c r="F176" s="42"/>
      <c r="G176" s="100">
        <v>46155.0</v>
      </c>
      <c r="H176" s="42"/>
    </row>
    <row r="177">
      <c r="A177" s="100">
        <v>46135.0</v>
      </c>
      <c r="B177" s="42"/>
      <c r="C177" s="100">
        <v>46142.0</v>
      </c>
      <c r="D177" s="42"/>
      <c r="E177" s="100">
        <v>46149.0</v>
      </c>
      <c r="F177" s="42"/>
      <c r="G177" s="100">
        <v>46156.0</v>
      </c>
      <c r="H177" s="42"/>
    </row>
    <row r="178">
      <c r="A178" s="100">
        <v>46136.0</v>
      </c>
      <c r="B178" s="42"/>
      <c r="C178" s="100">
        <v>46143.0</v>
      </c>
      <c r="D178" s="42"/>
      <c r="E178" s="100">
        <v>46150.0</v>
      </c>
      <c r="F178" s="42"/>
      <c r="G178" s="100">
        <v>46157.0</v>
      </c>
      <c r="H178" s="42"/>
    </row>
    <row r="179">
      <c r="A179" s="100">
        <v>46137.0</v>
      </c>
      <c r="B179" s="42"/>
      <c r="C179" s="100">
        <v>46144.0</v>
      </c>
      <c r="D179" s="42"/>
      <c r="E179" s="100">
        <v>46151.0</v>
      </c>
      <c r="F179" s="42"/>
      <c r="G179" s="100">
        <v>46158.0</v>
      </c>
      <c r="H179" s="42"/>
    </row>
    <row r="180">
      <c r="A180" s="73"/>
      <c r="B180" s="74">
        <f>SUM(B174:B179)</f>
        <v>168000</v>
      </c>
      <c r="C180" s="73"/>
      <c r="D180" s="74">
        <f>SUM(D174:D179)</f>
        <v>168000</v>
      </c>
      <c r="E180" s="73"/>
      <c r="F180" s="74">
        <f>SUM(F174:F179)</f>
        <v>168000</v>
      </c>
      <c r="G180" s="73"/>
      <c r="H180" s="74">
        <f>SUM(H174:H179)</f>
        <v>168000</v>
      </c>
      <c r="I180" s="57">
        <v>17.0</v>
      </c>
    </row>
    <row r="181">
      <c r="A181" s="25"/>
      <c r="B181" s="62"/>
      <c r="C181" s="25"/>
      <c r="D181" s="62"/>
      <c r="E181" s="25"/>
      <c r="F181" s="62"/>
      <c r="G181" s="25"/>
      <c r="H181" s="62"/>
      <c r="I181" s="86">
        <v>1.0</v>
      </c>
    </row>
    <row r="182">
      <c r="A182" s="7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</row>
    <row r="184">
      <c r="A184" s="100">
        <v>46160.0</v>
      </c>
      <c r="B184" s="99">
        <v>168000.0</v>
      </c>
      <c r="C184" s="100">
        <v>46167.0</v>
      </c>
      <c r="D184" s="95"/>
      <c r="E184" s="100">
        <v>46174.0</v>
      </c>
      <c r="F184" s="95"/>
      <c r="G184" s="100">
        <v>46181.0</v>
      </c>
      <c r="H184" s="92"/>
      <c r="I184" s="80">
        <f>B190+D190+F190+H190</f>
        <v>168000</v>
      </c>
    </row>
    <row r="185">
      <c r="A185" s="100">
        <v>46161.0</v>
      </c>
      <c r="B185" s="42"/>
      <c r="C185" s="100">
        <v>46168.0</v>
      </c>
      <c r="D185" s="42"/>
      <c r="E185" s="100">
        <v>46175.0</v>
      </c>
      <c r="F185" s="42"/>
      <c r="G185" s="100">
        <v>46182.0</v>
      </c>
      <c r="H185" s="42"/>
    </row>
    <row r="186">
      <c r="A186" s="100">
        <v>46162.0</v>
      </c>
      <c r="B186" s="42"/>
      <c r="C186" s="100">
        <v>46169.0</v>
      </c>
      <c r="D186" s="42"/>
      <c r="E186" s="100">
        <v>46176.0</v>
      </c>
      <c r="F186" s="42"/>
      <c r="G186" s="100">
        <v>46183.0</v>
      </c>
      <c r="H186" s="42"/>
    </row>
    <row r="187">
      <c r="A187" s="100">
        <v>46163.0</v>
      </c>
      <c r="B187" s="42"/>
      <c r="C187" s="100">
        <v>46170.0</v>
      </c>
      <c r="D187" s="42"/>
      <c r="E187" s="100">
        <v>46177.0</v>
      </c>
      <c r="F187" s="42"/>
      <c r="G187" s="100">
        <v>46184.0</v>
      </c>
      <c r="H187" s="42"/>
    </row>
    <row r="188">
      <c r="A188" s="100">
        <v>46164.0</v>
      </c>
      <c r="B188" s="42"/>
      <c r="C188" s="100">
        <v>46171.0</v>
      </c>
      <c r="D188" s="42"/>
      <c r="E188" s="100">
        <v>46178.0</v>
      </c>
      <c r="F188" s="42"/>
      <c r="G188" s="100">
        <v>46185.0</v>
      </c>
      <c r="H188" s="42"/>
    </row>
    <row r="189">
      <c r="A189" s="100">
        <v>46165.0</v>
      </c>
      <c r="B189" s="42"/>
      <c r="C189" s="100">
        <v>46172.0</v>
      </c>
      <c r="D189" s="42"/>
      <c r="E189" s="100">
        <v>46179.0</v>
      </c>
      <c r="F189" s="42"/>
      <c r="G189" s="100">
        <v>46186.0</v>
      </c>
      <c r="H189" s="42"/>
    </row>
    <row r="190">
      <c r="A190" s="73"/>
      <c r="B190" s="74">
        <f>SUM(B184:B189)</f>
        <v>168000</v>
      </c>
      <c r="C190" s="73"/>
      <c r="D190" s="74">
        <f>SUM(D184:D189)</f>
        <v>0</v>
      </c>
      <c r="E190" s="73"/>
      <c r="F190" s="74">
        <f>SUM(F184:F189)</f>
        <v>0</v>
      </c>
      <c r="G190" s="73"/>
      <c r="H190" s="74">
        <f>SUM(H184:H189)</f>
        <v>0</v>
      </c>
      <c r="I190" s="101"/>
    </row>
    <row r="191">
      <c r="A191" s="25"/>
      <c r="B191" s="62"/>
      <c r="C191" s="25"/>
      <c r="D191" s="62"/>
      <c r="E191" s="25"/>
      <c r="F191" s="62"/>
      <c r="G191" s="25"/>
      <c r="H191" s="62"/>
      <c r="I191" s="25"/>
    </row>
    <row r="192">
      <c r="A192" s="7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</row>
    <row r="203">
      <c r="A203" s="42"/>
      <c r="B203" s="42"/>
      <c r="C203" s="42"/>
      <c r="D203" s="25"/>
      <c r="E203" s="62"/>
      <c r="F203" s="25"/>
      <c r="G203" s="62"/>
      <c r="H203" s="25"/>
      <c r="I203" s="6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</row>
    <row r="1004">
      <c r="A1004" s="42"/>
      <c r="B1004" s="42"/>
      <c r="C1004" s="42"/>
      <c r="D1004" s="42"/>
      <c r="E1004" s="42"/>
      <c r="F1004" s="42"/>
      <c r="G1004" s="42"/>
      <c r="H1004" s="42"/>
      <c r="I1004" s="42"/>
    </row>
    <row r="1005">
      <c r="A1005" s="42"/>
      <c r="B1005" s="42"/>
      <c r="C1005" s="42"/>
      <c r="D1005" s="42"/>
      <c r="E1005" s="42"/>
      <c r="F1005" s="42"/>
      <c r="G1005" s="42"/>
      <c r="H1005" s="42"/>
      <c r="I1005" s="42"/>
    </row>
    <row r="1006">
      <c r="A1006" s="42"/>
      <c r="B1006" s="42"/>
      <c r="C1006" s="42"/>
      <c r="D1006" s="42"/>
      <c r="E1006" s="42"/>
      <c r="F1006" s="42"/>
      <c r="G1006" s="42"/>
      <c r="H1006" s="42"/>
      <c r="I1006" s="42"/>
    </row>
    <row r="1007">
      <c r="A1007" s="42"/>
      <c r="B1007" s="42"/>
      <c r="C1007" s="42"/>
      <c r="D1007" s="42"/>
      <c r="E1007" s="42"/>
      <c r="F1007" s="42"/>
      <c r="G1007" s="42"/>
      <c r="H1007" s="42"/>
      <c r="I1007" s="42"/>
    </row>
    <row r="1008">
      <c r="A1008" s="42"/>
      <c r="B1008" s="42"/>
      <c r="C1008" s="42"/>
      <c r="D1008" s="42"/>
      <c r="E1008" s="42"/>
      <c r="F1008" s="42"/>
      <c r="G1008" s="42"/>
      <c r="H1008" s="42"/>
      <c r="I1008" s="42"/>
    </row>
    <row r="1009">
      <c r="A1009" s="42"/>
      <c r="B1009" s="42"/>
      <c r="C1009" s="42"/>
      <c r="D1009" s="42"/>
      <c r="E1009" s="42"/>
      <c r="F1009" s="42"/>
      <c r="G1009" s="42"/>
      <c r="H1009" s="42"/>
      <c r="I1009" s="42"/>
    </row>
    <row r="1010">
      <c r="A1010" s="42"/>
      <c r="B1010" s="42"/>
      <c r="C1010" s="42"/>
      <c r="D1010" s="42"/>
      <c r="E1010" s="42"/>
      <c r="F1010" s="42"/>
      <c r="G1010" s="42"/>
      <c r="H1010" s="42"/>
      <c r="I1010" s="42"/>
    </row>
    <row r="1011">
      <c r="A1011" s="42"/>
      <c r="B1011" s="42"/>
      <c r="C1011" s="42"/>
      <c r="D1011" s="42"/>
      <c r="E1011" s="42"/>
      <c r="F1011" s="42"/>
      <c r="G1011" s="42"/>
      <c r="H1011" s="42"/>
      <c r="I1011" s="42"/>
    </row>
    <row r="1012">
      <c r="A1012" s="42"/>
      <c r="B1012" s="42"/>
      <c r="C1012" s="42"/>
      <c r="D1012" s="42"/>
      <c r="E1012" s="42"/>
      <c r="F1012" s="42"/>
      <c r="G1012" s="42"/>
      <c r="H1012" s="42"/>
      <c r="I1012" s="42"/>
    </row>
    <row r="1013">
      <c r="A1013" s="42"/>
      <c r="B1013" s="42"/>
      <c r="C1013" s="42"/>
      <c r="D1013" s="42"/>
      <c r="E1013" s="42"/>
      <c r="F1013" s="42"/>
      <c r="G1013" s="42"/>
      <c r="H1013" s="42"/>
      <c r="I1013" s="42"/>
    </row>
    <row r="1014">
      <c r="A1014" s="42"/>
      <c r="B1014" s="42"/>
      <c r="C1014" s="42"/>
      <c r="D1014" s="42"/>
      <c r="E1014" s="42"/>
      <c r="F1014" s="42"/>
      <c r="G1014" s="42"/>
      <c r="H1014" s="42"/>
      <c r="I1014" s="42"/>
    </row>
    <row r="1015">
      <c r="A1015" s="42"/>
      <c r="B1015" s="42"/>
      <c r="C1015" s="42"/>
      <c r="D1015" s="42"/>
      <c r="E1015" s="42"/>
      <c r="F1015" s="42"/>
      <c r="G1015" s="42"/>
      <c r="H1015" s="42"/>
      <c r="I1015" s="42"/>
    </row>
    <row r="1016">
      <c r="A1016" s="42"/>
      <c r="B1016" s="42"/>
      <c r="C1016" s="42"/>
      <c r="D1016" s="42"/>
      <c r="E1016" s="42"/>
      <c r="F1016" s="42"/>
      <c r="G1016" s="42"/>
      <c r="H1016" s="42"/>
      <c r="I1016" s="42"/>
    </row>
    <row r="1017">
      <c r="A1017" s="42"/>
      <c r="B1017" s="42"/>
      <c r="C1017" s="42"/>
      <c r="D1017" s="42"/>
      <c r="E1017" s="42"/>
      <c r="F1017" s="42"/>
      <c r="G1017" s="42"/>
      <c r="H1017" s="42"/>
      <c r="I1017" s="42"/>
    </row>
    <row r="1018">
      <c r="A1018" s="42"/>
      <c r="B1018" s="42"/>
      <c r="C1018" s="42"/>
      <c r="D1018" s="42"/>
      <c r="E1018" s="42"/>
      <c r="F1018" s="42"/>
      <c r="G1018" s="42"/>
      <c r="H1018" s="42"/>
      <c r="I1018" s="42"/>
    </row>
    <row r="1019">
      <c r="A1019" s="42"/>
      <c r="B1019" s="42"/>
      <c r="C1019" s="42"/>
      <c r="D1019" s="42"/>
      <c r="E1019" s="42"/>
      <c r="F1019" s="42"/>
      <c r="G1019" s="42"/>
      <c r="H1019" s="42"/>
      <c r="I1019" s="42"/>
    </row>
  </sheetData>
  <mergeCells count="45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E10:F11"/>
    <mergeCell ref="G10:G11"/>
    <mergeCell ref="I16:I21"/>
    <mergeCell ref="I26:I31"/>
    <mergeCell ref="A34:I34"/>
    <mergeCell ref="I36:I41"/>
    <mergeCell ref="A44:I44"/>
    <mergeCell ref="I46:I51"/>
    <mergeCell ref="A54:I54"/>
    <mergeCell ref="I56:I61"/>
    <mergeCell ref="I65:I70"/>
    <mergeCell ref="A73:I73"/>
    <mergeCell ref="I75:I80"/>
    <mergeCell ref="A92:I92"/>
    <mergeCell ref="I144:I149"/>
    <mergeCell ref="I154:I159"/>
    <mergeCell ref="I164:I169"/>
    <mergeCell ref="I174:I179"/>
    <mergeCell ref="I184:I189"/>
    <mergeCell ref="I84:I89"/>
    <mergeCell ref="I94:I99"/>
    <mergeCell ref="I104:I109"/>
    <mergeCell ref="H114:H119"/>
    <mergeCell ref="I114:I119"/>
    <mergeCell ref="I124:I129"/>
    <mergeCell ref="I134:I139"/>
    <mergeCell ref="A172:I172"/>
    <mergeCell ref="A182:I182"/>
    <mergeCell ref="A192:I192"/>
    <mergeCell ref="A102:I102"/>
    <mergeCell ref="A112:I112"/>
    <mergeCell ref="A122:I122"/>
    <mergeCell ref="A132:I132"/>
    <mergeCell ref="A142:I142"/>
    <mergeCell ref="A152:I152"/>
    <mergeCell ref="A162:I162"/>
  </mergeCells>
  <drawing r:id="rId1"/>
</worksheet>
</file>