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<sst xmlns="http://schemas.openxmlformats.org/spreadsheetml/2006/main" count="112" uniqueCount="42">
  <si>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</si>
  <si>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</si>
  <si>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</si>
  <si>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</si>
  <si>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</si>
  <si>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</si>
  <si>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</si>
  <si>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</si>
  <si>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</si>
  <si>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PICANTO</t>
  </si>
  <si>
    <t>BAJA</t>
  </si>
  <si>
    <t>MYZ-995</t>
  </si>
  <si>
    <t>61B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</si>
  <si>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</si>
  <si>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</si>
  <si>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</si>
  <si>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</si>
  <si>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</si>
  <si>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</si>
  <si>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</si>
  <si>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</si>
  <si>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</si>
  <si>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</si>
  <si>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</si>
  <si>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</si>
  <si>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</si>
  <si>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Traspaso de propiedad</t>
  </si>
  <si>
    <t xml:space="preserve">DEUDA DE SEMANA </t>
  </si>
  <si>
    <t>LUIS ENRRQUE</t>
  </si>
  <si>
    <t>RIOS</t>
  </si>
  <si>
    <t>VENEZOLANO</t>
  </si>
  <si>
    <t>SOAT</t>
  </si>
  <si>
    <t>FIRMA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</si>
  <si>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</si>
  <si>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</si>
  <si>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</si>
  <si>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</si>
  <si>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</si>
  <si>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</si>
  <si>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</si>
  <si>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</si>
  <si>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M17598252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</si>
</sst>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[$$]#,##0.00"/>
    <numFmt numFmtId="166" formatCode="dd/mm/yyyy"/>
    <numFmt numFmtId="167" formatCode="&quot;$&quot;#,##0"/>
    <numFmt numFmtId="168" formatCode="&quot;$&quot;#,##0.00"/>
  </numFmts>
  <fonts count="27">
    <font>
      <sz val="10.0"/>
      <color rgb="FF000000"/>
      <name val="Arial"/>
      <scheme val="minor"/>
    </font>
    <font>
      <b/>
      <sz val="14.0"/>
      <color rgb="FFFFFFFF"/>
      <name val="Arial"/>
    </font>
    <font>
      <b/>
      <color theme="1"/>
      <name val="Arial"/>
    </font>
    <font>
      <b/>
      <color theme="1"/>
      <name val="Arial"/>
      <scheme val="minor"/>
    </font>
    <font>
      <b/>
      <sz val="12.0"/>
      <color theme="1"/>
      <name val="Nunito"/>
    </font>
    <font>
      <b/>
      <sz val="11.0"/>
      <color theme="1"/>
      <name val="Nunito"/>
    </font>
    <font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sz val="12.0"/>
      <color theme="1"/>
      <name val="Arial"/>
    </font>
    <font>
      <b/>
      <sz val="14.0"/>
      <color rgb="FF0077D9"/>
      <name val="Arial"/>
    </font>
    <font>
      <b/>
      <color rgb="FFFFFFFF"/>
      <name val="Arial"/>
    </font>
    <font>
      <b/>
      <sz val="25.0"/>
      <color theme="1"/>
      <name val="Arial"/>
    </font>
    <font/>
    <font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>
      <b/>
      <sz val="11.0"/>
      <color theme="1"/>
      <name val="Arial"/>
    </font>
    <font>
      <b/>
      <sz val="15.0"/>
      <color theme="1"/>
      <name val="Calibri"/>
    </font>
    <font>
      <b/>
      <sz val="23.0"/>
      <color rgb="FFFFFFFF"/>
      <name val="Arial"/>
    </font>
    <font>
      <sz val="11.0"/>
      <color theme="1"/>
      <name val="Arial"/>
    </font>
    <font>
      <b/>
      <sz val="13.0"/>
      <color rgb="FFFFFFFF"/>
      <name val="Arial"/>
    </font>
    <font>
      <b/>
      <color rgb="FF46BDC6"/>
      <name val="Arial"/>
    </font>
    <font>
      <b/>
      <sz val="15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3" numFmtId="0" xfId="0" applyFont="1"/>
    <xf borderId="1" fillId="3" fontId="4" numFmtId="0" xfId="0" applyAlignment="1" applyBorder="1" applyFill="1" applyFont="1">
      <alignment horizontal="center" vertical="bottom"/>
    </xf>
    <xf borderId="1" fillId="3" fontId="4" numFmtId="1" xfId="0" applyAlignment="1" applyBorder="1" applyFont="1" applyNumberFormat="1">
      <alignment horizontal="center" vertical="bottom"/>
    </xf>
    <xf borderId="1" fillId="3" fontId="5" numFmtId="1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3" fontId="5" numFmtId="49" xfId="0" applyAlignment="1" applyBorder="1" applyFont="1" applyNumberFormat="1">
      <alignment horizontal="center" vertical="bottom"/>
    </xf>
    <xf borderId="1" fillId="3" fontId="5" numFmtId="165" xfId="0" applyAlignment="1" applyBorder="1" applyFont="1" applyNumberFormat="1">
      <alignment horizontal="center" vertical="bottom"/>
    </xf>
    <xf borderId="1" fillId="4" fontId="5" numFmtId="165" xfId="0" applyAlignment="1" applyBorder="1" applyFill="1" applyFont="1" applyNumberFormat="1">
      <alignment horizontal="center" vertical="bottom"/>
    </xf>
    <xf borderId="0" fillId="5" fontId="6" numFmtId="0" xfId="0" applyAlignment="1" applyFill="1" applyFont="1">
      <alignment vertical="bottom"/>
    </xf>
    <xf borderId="0" fillId="5" fontId="2" numFmtId="0" xfId="0" applyAlignment="1" applyFont="1">
      <alignment vertical="bottom"/>
    </xf>
    <xf borderId="0" fillId="6" fontId="7" numFmtId="0" xfId="0" applyAlignment="1" applyFill="1" applyFont="1">
      <alignment horizontal="center" shrinkToFit="0" vertical="bottom" wrapText="1"/>
    </xf>
    <xf borderId="0" fillId="6" fontId="7" numFmtId="0" xfId="0" applyAlignment="1" applyFont="1">
      <alignment horizontal="center" vertical="bottom"/>
    </xf>
    <xf borderId="1" fillId="3" fontId="8" numFmtId="165" xfId="0" applyAlignment="1" applyBorder="1" applyFont="1" applyNumberFormat="1">
      <alignment horizontal="center" vertical="bottom"/>
    </xf>
    <xf borderId="1" fillId="3" fontId="8" numFmtId="4" xfId="0" applyAlignment="1" applyBorder="1" applyFont="1" applyNumberFormat="1">
      <alignment horizontal="center" vertical="bottom"/>
    </xf>
    <xf borderId="1" fillId="3" fontId="8" numFmtId="1" xfId="0" applyAlignment="1" applyBorder="1" applyFont="1" applyNumberFormat="1">
      <alignment horizontal="center" vertical="bottom"/>
    </xf>
    <xf borderId="2" fillId="3" fontId="8" numFmtId="165" xfId="0" applyAlignment="1" applyBorder="1" applyFont="1" applyNumberFormat="1">
      <alignment horizontal="center" vertical="bottom"/>
    </xf>
    <xf borderId="2" fillId="3" fontId="9" numFmtId="165" xfId="0" applyAlignment="1" applyBorder="1" applyFont="1" applyNumberFormat="1">
      <alignment horizontal="center" vertical="bottom"/>
    </xf>
    <xf borderId="2" fillId="7" fontId="8" numFmtId="165" xfId="0" applyAlignment="1" applyBorder="1" applyFill="1" applyFont="1" applyNumberFormat="1">
      <alignment horizontal="center" vertical="bottom"/>
    </xf>
    <xf borderId="0" fillId="8" fontId="10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9" fontId="11" numFmtId="0" xfId="0" applyAlignment="1" applyFill="1" applyFont="1">
      <alignment horizontal="center" shrinkToFit="0" vertical="bottom" wrapText="1"/>
    </xf>
    <xf borderId="0" fillId="10" fontId="2" numFmtId="0" xfId="0" applyAlignment="1" applyFill="1" applyFont="1">
      <alignment horizontal="center" vertical="bottom"/>
    </xf>
    <xf borderId="0" fillId="10" fontId="12" numFmtId="0" xfId="0" applyAlignment="1" applyFont="1">
      <alignment horizontal="center" vertical="bottom"/>
    </xf>
    <xf borderId="0" fillId="9" fontId="13" numFmtId="0" xfId="0" applyAlignment="1" applyFont="1">
      <alignment horizontal="center" shrinkToFit="0" vertical="bottom" wrapText="1"/>
    </xf>
    <xf borderId="0" fillId="10" fontId="14" numFmtId="0" xfId="0" applyAlignment="1" applyFont="1">
      <alignment horizontal="center" vertical="bottom"/>
    </xf>
    <xf borderId="0" fillId="11" fontId="10" numFmtId="164" xfId="0" applyAlignment="1" applyFill="1" applyFont="1" applyNumberFormat="1">
      <alignment horizontal="center" vertical="bottom"/>
    </xf>
    <xf borderId="0" fillId="12" fontId="6" numFmtId="0" xfId="0" applyAlignment="1" applyFill="1" applyFont="1">
      <alignment vertical="bottom"/>
    </xf>
    <xf borderId="0" fillId="12" fontId="2" numFmtId="0" xfId="0" applyAlignment="1" applyFont="1">
      <alignment vertical="bottom"/>
    </xf>
    <xf borderId="3" fillId="12" fontId="2" numFmtId="0" xfId="0" applyAlignment="1" applyBorder="1" applyFont="1">
      <alignment vertical="bottom"/>
    </xf>
    <xf borderId="3" fillId="12" fontId="2" numFmtId="164" xfId="0" applyAlignment="1" applyBorder="1" applyFont="1" applyNumberFormat="1">
      <alignment vertical="bottom"/>
    </xf>
    <xf borderId="4" fillId="12" fontId="15" numFmtId="0" xfId="0" applyAlignment="1" applyBorder="1" applyFont="1">
      <alignment horizontal="center" vertical="bottom"/>
    </xf>
    <xf borderId="0" fillId="6" fontId="14" numFmtId="0" xfId="0" applyAlignment="1" applyFont="1">
      <alignment horizontal="center" vertical="bottom"/>
    </xf>
    <xf borderId="5" fillId="0" fontId="16" numFmtId="0" xfId="0" applyBorder="1" applyFont="1"/>
    <xf borderId="0" fillId="12" fontId="17" numFmtId="3" xfId="0" applyAlignment="1" applyFont="1" applyNumberFormat="1">
      <alignment horizontal="center" vertical="bottom"/>
    </xf>
    <xf borderId="0" fillId="13" fontId="18" numFmtId="4" xfId="0" applyAlignment="1" applyFill="1" applyFont="1" applyNumberFormat="1">
      <alignment horizontal="center" vertical="bottom"/>
    </xf>
    <xf borderId="0" fillId="11" fontId="19" numFmtId="4" xfId="0" applyAlignment="1" applyFont="1" applyNumberFormat="1">
      <alignment horizontal="center" vertical="bottom"/>
    </xf>
    <xf borderId="0" fillId="14" fontId="10" numFmtId="164" xfId="0" applyAlignment="1" applyFill="1" applyFont="1" applyNumberFormat="1">
      <alignment horizontal="center" vertical="bottom"/>
    </xf>
    <xf borderId="5" fillId="12" fontId="15" numFmtId="0" xfId="0" applyAlignment="1" applyBorder="1" applyFont="1">
      <alignment horizontal="center" vertical="bottom"/>
    </xf>
    <xf borderId="6" fillId="0" fontId="16" numFmtId="0" xfId="0" applyBorder="1" applyFont="1"/>
    <xf borderId="0" fillId="15" fontId="14" numFmtId="0" xfId="0" applyAlignment="1" applyFill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16" fontId="14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12" fontId="6" numFmtId="166" xfId="0" applyFont="1" applyNumberFormat="1"/>
    <xf borderId="0" fillId="17" fontId="2" numFmtId="164" xfId="0" applyFill="1" applyFont="1" applyNumberFormat="1"/>
    <xf borderId="0" fillId="12" fontId="20" numFmtId="166" xfId="0" applyAlignment="1" applyFont="1" applyNumberFormat="1">
      <alignment horizontal="center"/>
    </xf>
    <xf borderId="0" fillId="17" fontId="21" numFmtId="167" xfId="0" applyAlignment="1" applyFont="1" applyNumberFormat="1">
      <alignment horizontal="center"/>
    </xf>
    <xf borderId="0" fillId="12" fontId="22" numFmtId="164" xfId="0" applyAlignment="1" applyFont="1" applyNumberFormat="1">
      <alignment horizontal="center"/>
    </xf>
    <xf borderId="0" fillId="12" fontId="23" numFmtId="166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0" fillId="0" fontId="2" numFmtId="4" xfId="0" applyAlignment="1" applyFont="1" applyNumberFormat="1">
      <alignment horizontal="center"/>
    </xf>
    <xf borderId="0" fillId="0" fontId="2" numFmtId="0" xfId="0" applyFont="1"/>
    <xf borderId="0" fillId="0" fontId="2" numFmtId="4" xfId="0" applyFont="1" applyNumberFormat="1"/>
    <xf borderId="0" fillId="17" fontId="2" numFmtId="4" xfId="0" applyFont="1" applyNumberFormat="1"/>
    <xf borderId="0" fillId="17" fontId="2" numFmtId="167" xfId="0" applyFont="1" applyNumberFormat="1"/>
    <xf borderId="0" fillId="5" fontId="6" numFmtId="0" xfId="0" applyFont="1"/>
    <xf borderId="0" fillId="5" fontId="24" numFmtId="164" xfId="0" applyAlignment="1" applyFont="1" applyNumberFormat="1">
      <alignment horizontal="center"/>
    </xf>
    <xf borderId="0" fillId="5" fontId="2" numFmtId="0" xfId="0" applyFont="1"/>
    <xf borderId="0" fillId="5" fontId="24" numFmtId="0" xfId="0" applyAlignment="1" applyFont="1">
      <alignment horizontal="center"/>
    </xf>
    <xf borderId="0" fillId="12" fontId="6" numFmtId="0" xfId="0" applyAlignment="1" applyFont="1">
      <alignment horizontal="center" vertical="bottom"/>
    </xf>
    <xf borderId="0" fillId="18" fontId="2" numFmtId="0" xfId="0" applyAlignment="1" applyFill="1" applyFont="1">
      <alignment vertical="bottom"/>
    </xf>
    <xf borderId="0" fillId="12" fontId="2" numFmtId="0" xfId="0" applyAlignment="1" applyFont="1">
      <alignment horizontal="center" vertical="bottom"/>
    </xf>
    <xf borderId="0" fillId="12" fontId="25" numFmtId="0" xfId="0" applyAlignment="1" applyFont="1">
      <alignment horizontal="center" vertical="bottom"/>
    </xf>
    <xf borderId="0" fillId="12" fontId="22" numFmtId="164" xfId="0" applyAlignment="1" applyFont="1" applyNumberFormat="1">
      <alignment horizontal="center" vertical="bottom"/>
    </xf>
    <xf borderId="0" fillId="0" fontId="2" numFmtId="168" xfId="0" applyAlignment="1" applyFont="1" applyNumberFormat="1">
      <alignment vertical="bottom"/>
    </xf>
    <xf borderId="0" fillId="17" fontId="2" numFmtId="167" xfId="0" applyAlignment="1" applyFont="1" applyNumberFormat="1">
      <alignment vertical="bottom"/>
    </xf>
    <xf borderId="0" fillId="5" fontId="24" numFmtId="164" xfId="0" applyAlignment="1" applyFont="1" applyNumberFormat="1">
      <alignment horizontal="center" vertical="bottom"/>
    </xf>
    <xf borderId="0" fillId="5" fontId="24" numFmtId="0" xfId="0" applyAlignment="1" applyFont="1">
      <alignment horizontal="center" vertical="bottom"/>
    </xf>
    <xf borderId="0" fillId="12" fontId="23" numFmtId="166" xfId="0" applyAlignment="1" applyFont="1" applyNumberFormat="1">
      <alignment horizontal="center" readingOrder="0"/>
    </xf>
    <xf borderId="0" fillId="12" fontId="20" numFmtId="166" xfId="0" applyAlignment="1" applyFont="1" applyNumberFormat="1">
      <alignment horizontal="center" readingOrder="0"/>
    </xf>
    <xf borderId="0" fillId="17" fontId="21" numFmtId="167" xfId="0" applyAlignment="1" applyFont="1" applyNumberFormat="1">
      <alignment horizontal="center" readingOrder="0"/>
    </xf>
    <xf borderId="0" fillId="0" fontId="26" numFmtId="164" xfId="0" applyAlignment="1" applyFont="1" applyNumberFormat="1">
      <alignment horizontal="center" readingOrder="0" vertical="bottom"/>
    </xf>
    <xf borderId="0" fillId="5" fontId="2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2257425</xdr:colOff>
      <xdr:row>0</xdr:row>
      <xdr:rowOff>0</xdr:rowOff>
    </xdr:from>
    <xdr:ext cx="3009900" cy="2743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9.13"/>
    <col customWidth="1" min="2" max="2" width="17.13"/>
    <col customWidth="1" min="3" max="3" width="17.75"/>
    <col customWidth="1" min="4" max="4" width="19.13"/>
    <col customWidth="1" min="5" max="5" width="20.13"/>
    <col customWidth="1" min="6" max="6" width="23.0"/>
    <col customWidth="1" min="7" max="7" width="18.63"/>
    <col customWidth="1" min="8" max="8" width="29.88"/>
    <col customWidth="1" min="9" max="9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</row>
    <row r="2">
      <c r="A2" s="4" t="s">
        <v>8</v>
      </c>
      <c r="B2" s="5" t="s">
        <v>9</v>
      </c>
      <c r="C2" s="6">
        <v>2024.0</v>
      </c>
      <c r="D2" s="7" t="s">
        <v>10</v>
      </c>
      <c r="E2" s="7" t="s">
        <v>11</v>
      </c>
      <c r="F2" s="8" t="s">
        <v>12</v>
      </c>
      <c r="G2" s="9">
        <v>4.5E7</v>
      </c>
      <c r="H2" s="10">
        <v>5000000.0</v>
      </c>
      <c r="J2" s="3"/>
      <c r="K2" s="3"/>
    </row>
    <row r="3">
      <c r="A3" s="11"/>
      <c r="B3" s="12"/>
      <c r="C3" s="12"/>
      <c r="D3" s="12"/>
      <c r="E3" s="12"/>
      <c r="F3" s="12"/>
      <c r="G3" s="12"/>
      <c r="H3" s="12"/>
      <c r="J3" s="3"/>
      <c r="K3" s="3"/>
    </row>
    <row r="4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J4" s="3"/>
      <c r="K4" s="3"/>
    </row>
    <row r="5">
      <c r="A5" s="15">
        <f>G2-H2</f>
        <v>40000000</v>
      </c>
      <c r="B5" s="15">
        <v>3.2</v>
      </c>
      <c r="C5" s="16">
        <f>A5*B5</f>
        <v>128000000</v>
      </c>
      <c r="D5" s="17">
        <v>64.0</v>
      </c>
      <c r="E5" s="18">
        <f>C5/D5</f>
        <v>2000000</v>
      </c>
      <c r="F5" s="19">
        <f>E5/2</f>
        <v>1000000</v>
      </c>
      <c r="G5" s="20">
        <f>E5/4</f>
        <v>500000</v>
      </c>
      <c r="H5" s="18">
        <f>G5/6</f>
        <v>83333.33333</v>
      </c>
      <c r="J5" s="3"/>
      <c r="K5" s="3"/>
    </row>
    <row r="6">
      <c r="A6" s="21" t="s">
        <v>21</v>
      </c>
      <c r="B6" s="21" t="s">
        <v>22</v>
      </c>
      <c r="C6" s="21" t="s">
        <v>23</v>
      </c>
      <c r="D6" s="21" t="s">
        <v>24</v>
      </c>
      <c r="E6" s="21" t="s">
        <v>25</v>
      </c>
      <c r="F6" s="22"/>
      <c r="G6" s="23" t="s">
        <v>26</v>
      </c>
      <c r="H6" s="23" t="s">
        <v>27</v>
      </c>
      <c r="J6" s="3"/>
      <c r="K6" s="3"/>
    </row>
    <row r="7">
      <c r="A7" s="24" t="s">
        <v>28</v>
      </c>
      <c r="B7" s="24" t="s">
        <v>29</v>
      </c>
      <c r="C7" s="25">
        <v>1262831.0</v>
      </c>
      <c r="D7" s="24" t="s">
        <v>30</v>
      </c>
      <c r="E7" s="24">
        <v>3.219209791E9</v>
      </c>
      <c r="F7" s="26" t="s">
        <v>31</v>
      </c>
      <c r="G7" s="27" t="s">
        <v>32</v>
      </c>
      <c r="H7" s="28">
        <v>150000.0</v>
      </c>
      <c r="J7" s="3"/>
      <c r="K7" s="3"/>
    </row>
    <row r="8">
      <c r="A8" s="29"/>
      <c r="B8" s="30"/>
      <c r="C8" s="30"/>
      <c r="D8" s="30"/>
      <c r="E8" s="31"/>
      <c r="F8" s="32"/>
      <c r="G8" s="22"/>
      <c r="H8" s="33" t="s">
        <v>16</v>
      </c>
      <c r="J8" s="3"/>
      <c r="K8" s="3"/>
    </row>
    <row r="9">
      <c r="A9" s="34" t="s">
        <v>33</v>
      </c>
      <c r="C9" s="34" t="s">
        <v>34</v>
      </c>
      <c r="E9" s="34" t="s">
        <v>35</v>
      </c>
      <c r="G9" s="34" t="s">
        <v>36</v>
      </c>
      <c r="H9" s="35"/>
      <c r="J9" s="3"/>
      <c r="K9" s="3"/>
    </row>
    <row r="10">
      <c r="A10" s="36">
        <f>I16+I26+I36+I46+I56+I66</f>
        <v>9455000</v>
      </c>
      <c r="C10" s="37">
        <f>C5-A10</f>
        <v>118545000</v>
      </c>
      <c r="E10" s="38">
        <f>C10+G10</f>
        <v>121105000</v>
      </c>
      <c r="G10" s="39">
        <v>2560000.0</v>
      </c>
      <c r="H10" s="40">
        <f>I23+I33+I43+I53+I63+I73</f>
        <v>5</v>
      </c>
      <c r="J10" s="3"/>
      <c r="K10" s="3"/>
    </row>
    <row r="11">
      <c r="H11" s="41"/>
      <c r="J11" s="3"/>
      <c r="K11" s="3"/>
    </row>
    <row r="12">
      <c r="A12" s="42" t="s">
        <v>37</v>
      </c>
      <c r="E12" s="43"/>
      <c r="F12" s="44"/>
      <c r="G12" s="44"/>
      <c r="H12" s="22"/>
      <c r="J12" s="3"/>
      <c r="K12" s="3"/>
    </row>
    <row r="13">
      <c r="A13" s="11"/>
      <c r="B13" s="12"/>
      <c r="C13" s="12"/>
      <c r="D13" s="12"/>
      <c r="E13" s="12"/>
      <c r="F13" s="12"/>
      <c r="G13" s="12"/>
      <c r="H13" s="12"/>
      <c r="I13" s="12"/>
      <c r="J13" s="3"/>
      <c r="K13" s="3"/>
    </row>
    <row r="14">
      <c r="A14" s="11"/>
      <c r="B14" s="12"/>
      <c r="C14" s="12"/>
      <c r="D14" s="12"/>
      <c r="E14" s="12"/>
      <c r="F14" s="12"/>
      <c r="G14" s="12"/>
      <c r="H14" s="12"/>
      <c r="I14" s="12"/>
      <c r="J14" s="3"/>
      <c r="K14" s="3"/>
    </row>
    <row r="15">
      <c r="A15" s="45" t="s">
        <v>38</v>
      </c>
      <c r="B15" s="45" t="s">
        <v>39</v>
      </c>
      <c r="C15" s="45" t="s">
        <v>38</v>
      </c>
      <c r="D15" s="45" t="s">
        <v>39</v>
      </c>
      <c r="E15" s="45" t="s">
        <v>38</v>
      </c>
      <c r="F15" s="45" t="s">
        <v>39</v>
      </c>
      <c r="G15" s="45" t="s">
        <v>38</v>
      </c>
      <c r="H15" s="45" t="s">
        <v>39</v>
      </c>
      <c r="I15" s="46"/>
      <c r="J15" s="3"/>
      <c r="K15" s="3"/>
    </row>
    <row r="16">
      <c r="A16" s="47"/>
      <c r="B16" s="48"/>
      <c r="C16" s="49">
        <v>46048.0</v>
      </c>
      <c r="D16" s="48"/>
      <c r="E16" s="49">
        <v>46055.0</v>
      </c>
      <c r="F16" s="50">
        <v>45000.0</v>
      </c>
      <c r="G16" s="49">
        <v>46062.0</v>
      </c>
      <c r="H16" s="50">
        <v>500000.0</v>
      </c>
      <c r="I16" s="51">
        <f>B22+D22+F22+H22</f>
        <v>1955000</v>
      </c>
      <c r="J16" s="3"/>
      <c r="K16" s="3"/>
    </row>
    <row r="17">
      <c r="A17" s="52">
        <v>46042.0</v>
      </c>
      <c r="B17" s="53">
        <v>91000.0</v>
      </c>
      <c r="C17" s="49">
        <v>46049.0</v>
      </c>
      <c r="D17" s="54"/>
      <c r="E17" s="49">
        <v>46056.0</v>
      </c>
      <c r="F17" s="55">
        <v>455000.0</v>
      </c>
      <c r="G17" s="49">
        <v>46063.0</v>
      </c>
      <c r="H17" s="56"/>
      <c r="J17" s="3"/>
      <c r="K17" s="3"/>
    </row>
    <row r="18">
      <c r="A18" s="52">
        <v>46043.0</v>
      </c>
      <c r="B18" s="53">
        <v>91000.0</v>
      </c>
      <c r="C18" s="49">
        <v>46050.0</v>
      </c>
      <c r="D18" s="54"/>
      <c r="E18" s="49">
        <v>46057.0</v>
      </c>
      <c r="F18" s="57"/>
      <c r="G18" s="49">
        <v>46064.0</v>
      </c>
      <c r="H18" s="56"/>
      <c r="J18" s="3"/>
      <c r="K18" s="3"/>
    </row>
    <row r="19">
      <c r="A19" s="52">
        <v>46044.0</v>
      </c>
      <c r="B19" s="53">
        <v>182000.0</v>
      </c>
      <c r="C19" s="49">
        <v>46051.0</v>
      </c>
      <c r="D19" s="48"/>
      <c r="E19" s="49">
        <v>46058.0</v>
      </c>
      <c r="F19" s="58"/>
      <c r="G19" s="49">
        <v>46065.0</v>
      </c>
      <c r="H19" s="59"/>
      <c r="J19" s="3"/>
      <c r="K19" s="3"/>
    </row>
    <row r="20">
      <c r="A20" s="52">
        <v>46045.0</v>
      </c>
      <c r="B20" s="54"/>
      <c r="C20" s="49">
        <v>46052.0</v>
      </c>
      <c r="D20" s="54"/>
      <c r="E20" s="49">
        <v>46059.0</v>
      </c>
      <c r="F20" s="57"/>
      <c r="G20" s="49">
        <v>46066.0</v>
      </c>
      <c r="H20" s="56"/>
      <c r="J20" s="3"/>
      <c r="K20" s="3"/>
    </row>
    <row r="21">
      <c r="A21" s="52">
        <v>46046.0</v>
      </c>
      <c r="B21" s="53">
        <v>91000.0</v>
      </c>
      <c r="C21" s="49">
        <v>46053.0</v>
      </c>
      <c r="D21" s="53">
        <v>500000.0</v>
      </c>
      <c r="E21" s="49">
        <v>46060.0</v>
      </c>
      <c r="F21" s="57"/>
      <c r="G21" s="49">
        <v>46067.0</v>
      </c>
      <c r="H21" s="56"/>
      <c r="J21" s="3"/>
      <c r="K21" s="3"/>
    </row>
    <row r="22">
      <c r="A22" s="60"/>
      <c r="B22" s="61">
        <f>SUM(B16:B21)</f>
        <v>455000</v>
      </c>
      <c r="C22" s="62"/>
      <c r="D22" s="61">
        <f>SUM(D16:D21)</f>
        <v>500000</v>
      </c>
      <c r="E22" s="62"/>
      <c r="F22" s="61">
        <f>SUM(F16:F21)</f>
        <v>500000</v>
      </c>
      <c r="G22" s="62"/>
      <c r="H22" s="61">
        <f>SUM(H16:H21)</f>
        <v>500000</v>
      </c>
      <c r="I22" s="63">
        <v>1.0</v>
      </c>
      <c r="J22" s="3"/>
      <c r="K22" s="3"/>
    </row>
    <row r="23">
      <c r="A23" s="64" t="s">
        <v>40</v>
      </c>
      <c r="B23" s="65"/>
      <c r="C23" s="66" t="s">
        <v>40</v>
      </c>
      <c r="D23" s="65"/>
      <c r="E23" s="66" t="s">
        <v>40</v>
      </c>
      <c r="F23" s="65"/>
      <c r="G23" s="66" t="s">
        <v>40</v>
      </c>
      <c r="H23" s="65" t="s">
        <v>41</v>
      </c>
      <c r="I23" s="67">
        <v>1.0</v>
      </c>
      <c r="J23" s="3"/>
      <c r="K23" s="3"/>
    </row>
    <row r="24">
      <c r="A24" s="11"/>
      <c r="J24" s="3"/>
      <c r="K24" s="3"/>
    </row>
    <row r="25">
      <c r="A25" s="45" t="s">
        <v>38</v>
      </c>
      <c r="B25" s="45" t="s">
        <v>39</v>
      </c>
      <c r="C25" s="45" t="s">
        <v>38</v>
      </c>
      <c r="D25" s="45" t="s">
        <v>39</v>
      </c>
      <c r="E25" s="45" t="s">
        <v>38</v>
      </c>
      <c r="F25" s="45" t="s">
        <v>39</v>
      </c>
      <c r="G25" s="45" t="s">
        <v>38</v>
      </c>
      <c r="H25" s="45" t="s">
        <v>39</v>
      </c>
      <c r="I25" s="46"/>
      <c r="J25" s="3"/>
      <c r="K25" s="3"/>
    </row>
    <row r="26">
      <c r="A26" s="52">
        <v>46069.0</v>
      </c>
      <c r="B26" s="50">
        <v>500000.0</v>
      </c>
      <c r="C26" s="49">
        <v>46076.0</v>
      </c>
      <c r="D26" s="50">
        <v>500000.0</v>
      </c>
      <c r="E26" s="49">
        <v>46083.0</v>
      </c>
      <c r="F26" s="50">
        <v>500000.0</v>
      </c>
      <c r="G26" s="49">
        <v>46090.0</v>
      </c>
      <c r="H26" s="50">
        <v>500000.0</v>
      </c>
      <c r="I26" s="68">
        <f>B32+D32+F32+H32</f>
        <v>2000000</v>
      </c>
      <c r="J26" s="3"/>
      <c r="K26" s="3"/>
    </row>
    <row r="27">
      <c r="A27" s="52">
        <v>46070.0</v>
      </c>
      <c r="B27" s="22"/>
      <c r="C27" s="49">
        <v>46077.0</v>
      </c>
      <c r="D27" s="69"/>
      <c r="E27" s="49">
        <v>46084.0</v>
      </c>
      <c r="F27" s="22"/>
      <c r="G27" s="49">
        <v>46091.0</v>
      </c>
      <c r="H27" s="22"/>
      <c r="J27" s="3"/>
      <c r="K27" s="3"/>
    </row>
    <row r="28">
      <c r="A28" s="52">
        <v>46071.0</v>
      </c>
      <c r="B28" s="22"/>
      <c r="C28" s="49">
        <v>46078.0</v>
      </c>
      <c r="D28" s="22"/>
      <c r="E28" s="49">
        <v>46085.0</v>
      </c>
      <c r="F28" s="22"/>
      <c r="G28" s="49">
        <v>46092.0</v>
      </c>
      <c r="H28" s="22"/>
      <c r="J28" s="3"/>
      <c r="K28" s="3"/>
    </row>
    <row r="29">
      <c r="A29" s="52">
        <v>46072.0</v>
      </c>
      <c r="B29" s="22"/>
      <c r="C29" s="49">
        <v>46079.0</v>
      </c>
      <c r="D29" s="70"/>
      <c r="E29" s="49">
        <v>46086.0</v>
      </c>
      <c r="F29" s="70"/>
      <c r="G29" s="49">
        <v>46093.0</v>
      </c>
      <c r="H29" s="70"/>
      <c r="J29" s="3"/>
      <c r="K29" s="3"/>
    </row>
    <row r="30">
      <c r="A30" s="52">
        <v>46073.0</v>
      </c>
      <c r="B30" s="22"/>
      <c r="C30" s="49">
        <v>46080.0</v>
      </c>
      <c r="D30" s="22"/>
      <c r="E30" s="49">
        <v>46087.0</v>
      </c>
      <c r="F30" s="22"/>
      <c r="G30" s="49">
        <v>46094.0</v>
      </c>
      <c r="H30" s="22"/>
      <c r="J30" s="3"/>
      <c r="K30" s="3"/>
    </row>
    <row r="31">
      <c r="A31" s="52">
        <v>46074.0</v>
      </c>
      <c r="B31" s="22"/>
      <c r="C31" s="49">
        <v>46081.0</v>
      </c>
      <c r="D31" s="22"/>
      <c r="E31" s="49">
        <v>46088.0</v>
      </c>
      <c r="F31" s="22"/>
      <c r="G31" s="49">
        <v>46095.0</v>
      </c>
      <c r="H31" s="22"/>
      <c r="J31" s="3"/>
      <c r="K31" s="3"/>
    </row>
    <row r="32">
      <c r="A32" s="11"/>
      <c r="B32" s="71">
        <f>SUM(B26:B31)</f>
        <v>500000</v>
      </c>
      <c r="C32" s="12"/>
      <c r="D32" s="71">
        <f>SUM(D26:D31)</f>
        <v>500000</v>
      </c>
      <c r="E32" s="12"/>
      <c r="F32" s="71">
        <f>SUM(F26:F31)</f>
        <v>500000</v>
      </c>
      <c r="G32" s="12"/>
      <c r="H32" s="71">
        <f>SUM(H26:H31)</f>
        <v>500000</v>
      </c>
      <c r="I32" s="72">
        <v>2.0</v>
      </c>
      <c r="J32" s="3"/>
      <c r="K32" s="3"/>
    </row>
    <row r="33">
      <c r="A33" s="64" t="s">
        <v>40</v>
      </c>
      <c r="B33" s="65"/>
      <c r="C33" s="66" t="s">
        <v>40</v>
      </c>
      <c r="D33" s="65"/>
      <c r="E33" s="66" t="s">
        <v>40</v>
      </c>
      <c r="F33" s="65"/>
      <c r="G33" s="66" t="s">
        <v>40</v>
      </c>
      <c r="H33" s="65"/>
      <c r="I33" s="67">
        <v>1.0</v>
      </c>
      <c r="J33" s="3"/>
      <c r="K33" s="3"/>
    </row>
    <row r="34">
      <c r="A34" s="11"/>
      <c r="J34" s="3"/>
      <c r="K34" s="3"/>
    </row>
    <row r="35">
      <c r="A35" s="45" t="s">
        <v>38</v>
      </c>
      <c r="B35" s="45" t="s">
        <v>39</v>
      </c>
      <c r="C35" s="45" t="s">
        <v>38</v>
      </c>
      <c r="D35" s="45" t="s">
        <v>39</v>
      </c>
      <c r="E35" s="45" t="s">
        <v>38</v>
      </c>
      <c r="F35" s="45" t="s">
        <v>39</v>
      </c>
      <c r="G35" s="45" t="s">
        <v>38</v>
      </c>
      <c r="H35" s="45" t="s">
        <v>39</v>
      </c>
      <c r="I35" s="46"/>
      <c r="J35" s="3"/>
      <c r="K35" s="3"/>
    </row>
    <row r="36">
      <c r="A36" s="73">
        <v>46097.0</v>
      </c>
      <c r="B36" s="50">
        <v>500000.0</v>
      </c>
      <c r="C36" s="74">
        <v>46104.0</v>
      </c>
      <c r="D36" s="50">
        <v>500000.0</v>
      </c>
      <c r="E36" s="74">
        <v>46111.0</v>
      </c>
      <c r="F36" s="75">
        <v>450000.0</v>
      </c>
      <c r="G36" s="74">
        <v>46118.0</v>
      </c>
      <c r="H36" s="75">
        <v>300000.0</v>
      </c>
      <c r="I36" s="68">
        <f>B42+D42+F42+H42</f>
        <v>2000000</v>
      </c>
      <c r="J36" s="3"/>
      <c r="K36" s="3"/>
    </row>
    <row r="37">
      <c r="A37" s="73">
        <v>46098.0</v>
      </c>
      <c r="B37" s="22"/>
      <c r="C37" s="74">
        <v>46105.0</v>
      </c>
      <c r="D37" s="69"/>
      <c r="E37" s="74">
        <v>46112.0</v>
      </c>
      <c r="F37" s="76">
        <v>50000.0</v>
      </c>
      <c r="G37" s="74">
        <v>46119.0</v>
      </c>
      <c r="H37" s="75">
        <v>200000.0</v>
      </c>
      <c r="J37" s="3"/>
      <c r="K37" s="3"/>
    </row>
    <row r="38">
      <c r="A38" s="73">
        <v>46099.0</v>
      </c>
      <c r="B38" s="22"/>
      <c r="C38" s="74">
        <v>46106.0</v>
      </c>
      <c r="D38" s="22"/>
      <c r="E38" s="74">
        <v>46113.0</v>
      </c>
      <c r="F38" s="22"/>
      <c r="G38" s="74">
        <v>46120.0</v>
      </c>
      <c r="H38" s="22"/>
      <c r="J38" s="3"/>
      <c r="K38" s="3"/>
    </row>
    <row r="39">
      <c r="A39" s="73">
        <v>46100.0</v>
      </c>
      <c r="B39" s="22"/>
      <c r="C39" s="74">
        <v>46107.0</v>
      </c>
      <c r="D39" s="70"/>
      <c r="E39" s="74">
        <v>46114.0</v>
      </c>
      <c r="F39" s="70"/>
      <c r="G39" s="74">
        <v>46121.0</v>
      </c>
      <c r="H39" s="70"/>
      <c r="J39" s="3"/>
      <c r="K39" s="3"/>
    </row>
    <row r="40">
      <c r="A40" s="73">
        <v>46101.0</v>
      </c>
      <c r="B40" s="22"/>
      <c r="C40" s="74">
        <v>46108.0</v>
      </c>
      <c r="D40" s="22"/>
      <c r="E40" s="74">
        <v>46115.0</v>
      </c>
      <c r="F40" s="22"/>
      <c r="G40" s="74">
        <v>46122.0</v>
      </c>
      <c r="H40" s="22"/>
      <c r="J40" s="3"/>
      <c r="K40" s="3"/>
    </row>
    <row r="41">
      <c r="A41" s="73">
        <v>46102.0</v>
      </c>
      <c r="B41" s="22"/>
      <c r="C41" s="74">
        <v>46109.0</v>
      </c>
      <c r="D41" s="22"/>
      <c r="E41" s="74">
        <v>46116.0</v>
      </c>
      <c r="F41" s="22"/>
      <c r="G41" s="74">
        <v>46123.0</v>
      </c>
      <c r="H41" s="22"/>
      <c r="J41" s="3"/>
      <c r="K41" s="3"/>
    </row>
    <row r="42">
      <c r="A42" s="11"/>
      <c r="B42" s="71">
        <f>SUM(B36:B41)</f>
        <v>500000</v>
      </c>
      <c r="C42" s="12"/>
      <c r="D42" s="71">
        <f>SUM(D36:D41)</f>
        <v>500000</v>
      </c>
      <c r="E42" s="12"/>
      <c r="F42" s="71">
        <f>SUM(F36:F41)</f>
        <v>500000</v>
      </c>
      <c r="G42" s="12"/>
      <c r="H42" s="71">
        <f>SUM(H36:H41)</f>
        <v>500000</v>
      </c>
      <c r="I42" s="72">
        <v>3.0</v>
      </c>
      <c r="J42" s="3"/>
      <c r="K42" s="3"/>
    </row>
    <row r="43">
      <c r="A43" s="64" t="s">
        <v>40</v>
      </c>
      <c r="B43" s="65"/>
      <c r="C43" s="66" t="s">
        <v>40</v>
      </c>
      <c r="D43" s="65"/>
      <c r="E43" s="66" t="s">
        <v>40</v>
      </c>
      <c r="F43" s="65"/>
      <c r="G43" s="66" t="s">
        <v>40</v>
      </c>
      <c r="H43" s="65"/>
      <c r="I43" s="67">
        <v>1.0</v>
      </c>
      <c r="J43" s="3"/>
      <c r="K43" s="3"/>
    </row>
    <row r="44">
      <c r="A44" s="11"/>
      <c r="J44" s="3"/>
      <c r="K44" s="3"/>
    </row>
    <row r="45">
      <c r="A45" s="45" t="s">
        <v>38</v>
      </c>
      <c r="B45" s="45" t="s">
        <v>39</v>
      </c>
      <c r="C45" s="45" t="s">
        <v>38</v>
      </c>
      <c r="D45" s="45" t="s">
        <v>39</v>
      </c>
      <c r="E45" s="45" t="s">
        <v>38</v>
      </c>
      <c r="F45" s="45" t="s">
        <v>39</v>
      </c>
      <c r="G45" s="45" t="s">
        <v>38</v>
      </c>
      <c r="H45" s="45" t="s">
        <v>39</v>
      </c>
      <c r="I45" s="46"/>
      <c r="J45" s="3"/>
      <c r="K45" s="3"/>
    </row>
    <row r="46">
      <c r="A46" s="73">
        <v>46125.0</v>
      </c>
      <c r="B46" s="75">
        <v>300000.0</v>
      </c>
      <c r="C46" s="74">
        <v>46132.0</v>
      </c>
      <c r="D46" s="75">
        <v>400000.0</v>
      </c>
      <c r="E46" s="74">
        <v>46139.0</v>
      </c>
      <c r="F46" s="50">
        <v>500000.0</v>
      </c>
      <c r="G46" s="74">
        <v>46146.0</v>
      </c>
      <c r="H46" s="75">
        <v>450000.0</v>
      </c>
      <c r="I46" s="68">
        <f>B52+D52+F52+H52</f>
        <v>2000000</v>
      </c>
      <c r="J46" s="3"/>
      <c r="K46" s="3"/>
    </row>
    <row r="47">
      <c r="A47" s="73">
        <v>46126.0</v>
      </c>
      <c r="B47" s="75">
        <v>200000.0</v>
      </c>
      <c r="C47" s="74">
        <v>46133.0</v>
      </c>
      <c r="D47" s="75">
        <v>100000.0</v>
      </c>
      <c r="E47" s="74">
        <v>46140.0</v>
      </c>
      <c r="F47" s="22"/>
      <c r="G47" s="74">
        <v>46147.0</v>
      </c>
      <c r="H47" s="75">
        <v>50000.0</v>
      </c>
      <c r="J47" s="3"/>
      <c r="K47" s="3"/>
    </row>
    <row r="48">
      <c r="A48" s="73">
        <v>46127.0</v>
      </c>
      <c r="B48" s="22"/>
      <c r="C48" s="74">
        <v>46134.0</v>
      </c>
      <c r="D48" s="22"/>
      <c r="E48" s="74">
        <v>46141.0</v>
      </c>
      <c r="F48" s="22"/>
      <c r="G48" s="74">
        <v>46148.0</v>
      </c>
      <c r="H48" s="22"/>
      <c r="J48" s="3"/>
      <c r="K48" s="3"/>
    </row>
    <row r="49">
      <c r="A49" s="73">
        <v>46128.0</v>
      </c>
      <c r="B49" s="22"/>
      <c r="C49" s="74">
        <v>46135.0</v>
      </c>
      <c r="D49" s="70"/>
      <c r="E49" s="74">
        <v>46142.0</v>
      </c>
      <c r="F49" s="70"/>
      <c r="G49" s="74">
        <v>46149.0</v>
      </c>
      <c r="H49" s="70"/>
      <c r="J49" s="3"/>
      <c r="K49" s="3"/>
    </row>
    <row r="50">
      <c r="A50" s="73">
        <v>46129.0</v>
      </c>
      <c r="B50" s="22"/>
      <c r="C50" s="74">
        <v>46136.0</v>
      </c>
      <c r="D50" s="22"/>
      <c r="E50" s="74">
        <v>46143.0</v>
      </c>
      <c r="F50" s="22"/>
      <c r="G50" s="74">
        <v>46150.0</v>
      </c>
      <c r="H50" s="22"/>
      <c r="J50" s="3"/>
      <c r="K50" s="3"/>
    </row>
    <row r="51">
      <c r="A51" s="73">
        <v>46130.0</v>
      </c>
      <c r="B51" s="22"/>
      <c r="C51" s="74">
        <v>46137.0</v>
      </c>
      <c r="D51" s="22"/>
      <c r="E51" s="74">
        <v>46144.0</v>
      </c>
      <c r="F51" s="22"/>
      <c r="G51" s="74">
        <v>46151.0</v>
      </c>
      <c r="H51" s="22"/>
      <c r="J51" s="3"/>
      <c r="K51" s="3"/>
    </row>
    <row r="52">
      <c r="A52" s="11"/>
      <c r="B52" s="71">
        <f>SUM(B46:B51)</f>
        <v>500000</v>
      </c>
      <c r="C52" s="12"/>
      <c r="D52" s="71">
        <f>SUM(D46:D51)</f>
        <v>500000</v>
      </c>
      <c r="E52" s="12"/>
      <c r="F52" s="71">
        <f>SUM(F46:F51)</f>
        <v>500000</v>
      </c>
      <c r="G52" s="12"/>
      <c r="H52" s="71">
        <f>SUM(H46:H51)</f>
        <v>500000</v>
      </c>
      <c r="I52" s="77">
        <v>4.0</v>
      </c>
      <c r="J52" s="3"/>
      <c r="K52" s="3"/>
    </row>
    <row r="53">
      <c r="A53" s="64" t="s">
        <v>40</v>
      </c>
      <c r="B53" s="65"/>
      <c r="C53" s="66" t="s">
        <v>40</v>
      </c>
      <c r="D53" s="65"/>
      <c r="E53" s="66" t="s">
        <v>40</v>
      </c>
      <c r="F53" s="65"/>
      <c r="G53" s="66" t="s">
        <v>40</v>
      </c>
      <c r="H53" s="65"/>
      <c r="I53" s="67">
        <v>1.0</v>
      </c>
      <c r="J53" s="3"/>
      <c r="K53" s="3"/>
    </row>
    <row r="54">
      <c r="A54" s="11"/>
      <c r="J54" s="3"/>
      <c r="K54" s="3"/>
    </row>
    <row r="55">
      <c r="A55" s="45" t="s">
        <v>38</v>
      </c>
      <c r="B55" s="45" t="s">
        <v>39</v>
      </c>
      <c r="C55" s="45" t="s">
        <v>38</v>
      </c>
      <c r="D55" s="45" t="s">
        <v>39</v>
      </c>
      <c r="E55" s="45" t="s">
        <v>38</v>
      </c>
      <c r="F55" s="45" t="s">
        <v>39</v>
      </c>
      <c r="G55" s="45" t="s">
        <v>38</v>
      </c>
      <c r="H55" s="45" t="s">
        <v>39</v>
      </c>
      <c r="I55" s="46"/>
      <c r="J55" s="3"/>
      <c r="K55" s="3"/>
    </row>
    <row r="56">
      <c r="A56" s="73">
        <v>46153.0</v>
      </c>
      <c r="B56" s="50">
        <v>500000.0</v>
      </c>
      <c r="C56" s="74">
        <v>46160.0</v>
      </c>
      <c r="D56" s="50">
        <v>500000.0</v>
      </c>
      <c r="E56" s="74">
        <v>46167.0</v>
      </c>
      <c r="F56" s="50">
        <v>500000.0</v>
      </c>
      <c r="G56" s="74">
        <v>46174.0</v>
      </c>
      <c r="H56" s="70"/>
      <c r="I56" s="68">
        <f>B62+D62+F62+H62</f>
        <v>1500000</v>
      </c>
      <c r="J56" s="3"/>
      <c r="K56" s="3"/>
    </row>
    <row r="57">
      <c r="A57" s="73">
        <v>46154.0</v>
      </c>
      <c r="B57" s="22"/>
      <c r="C57" s="74">
        <v>46161.0</v>
      </c>
      <c r="D57" s="69"/>
      <c r="E57" s="74">
        <v>46168.0</v>
      </c>
      <c r="F57" s="22"/>
      <c r="G57" s="74">
        <v>46175.0</v>
      </c>
      <c r="H57" s="22"/>
      <c r="J57" s="3"/>
      <c r="K57" s="3"/>
    </row>
    <row r="58">
      <c r="A58" s="73">
        <v>46155.0</v>
      </c>
      <c r="B58" s="22"/>
      <c r="C58" s="74">
        <v>46162.0</v>
      </c>
      <c r="D58" s="22"/>
      <c r="E58" s="74">
        <v>46169.0</v>
      </c>
      <c r="F58" s="22"/>
      <c r="G58" s="74">
        <v>46176.0</v>
      </c>
      <c r="H58" s="22"/>
      <c r="J58" s="3"/>
      <c r="K58" s="3"/>
    </row>
    <row r="59">
      <c r="A59" s="73">
        <v>46156.0</v>
      </c>
      <c r="B59" s="22"/>
      <c r="C59" s="74">
        <v>46163.0</v>
      </c>
      <c r="D59" s="70"/>
      <c r="E59" s="74">
        <v>46170.0</v>
      </c>
      <c r="F59" s="70"/>
      <c r="G59" s="74">
        <v>46177.0</v>
      </c>
      <c r="H59" s="70"/>
      <c r="J59" s="3"/>
      <c r="K59" s="3"/>
    </row>
    <row r="60">
      <c r="A60" s="73">
        <v>46157.0</v>
      </c>
      <c r="B60" s="22"/>
      <c r="C60" s="74">
        <v>46164.0</v>
      </c>
      <c r="D60" s="22"/>
      <c r="E60" s="74">
        <v>46171.0</v>
      </c>
      <c r="F60" s="22"/>
      <c r="G60" s="74">
        <v>46178.0</v>
      </c>
      <c r="H60" s="22"/>
      <c r="J60" s="3"/>
      <c r="K60" s="3"/>
    </row>
    <row r="61">
      <c r="A61" s="73">
        <v>46158.0</v>
      </c>
      <c r="B61" s="22"/>
      <c r="C61" s="74">
        <v>46165.0</v>
      </c>
      <c r="D61" s="22"/>
      <c r="E61" s="74">
        <v>46172.0</v>
      </c>
      <c r="F61" s="22"/>
      <c r="G61" s="74">
        <v>46179.0</v>
      </c>
      <c r="H61" s="22"/>
      <c r="J61" s="3"/>
      <c r="K61" s="3"/>
    </row>
    <row r="62">
      <c r="A62" s="11"/>
      <c r="B62" s="71">
        <f>SUM(B56:B61)</f>
        <v>500000</v>
      </c>
      <c r="C62" s="12"/>
      <c r="D62" s="71">
        <f>SUM(D56:D61)</f>
        <v>500000</v>
      </c>
      <c r="E62" s="12"/>
      <c r="F62" s="71">
        <f>SUM(F56:F61)</f>
        <v>500000</v>
      </c>
      <c r="G62" s="12"/>
      <c r="H62" s="71">
        <f>SUM(H56:H61)</f>
        <v>0</v>
      </c>
      <c r="I62" s="77">
        <v>5.0</v>
      </c>
      <c r="J62" s="3"/>
      <c r="K62" s="3"/>
    </row>
    <row r="63">
      <c r="A63" s="64" t="s">
        <v>40</v>
      </c>
      <c r="B63" s="65"/>
      <c r="C63" s="66" t="s">
        <v>40</v>
      </c>
      <c r="D63" s="65"/>
      <c r="E63" s="66" t="s">
        <v>40</v>
      </c>
      <c r="F63" s="65"/>
      <c r="G63" s="66" t="s">
        <v>40</v>
      </c>
      <c r="H63" s="65"/>
      <c r="I63" s="67">
        <v>1.0</v>
      </c>
      <c r="J63" s="3"/>
      <c r="K63" s="3"/>
    </row>
    <row r="64">
      <c r="A64" s="11"/>
      <c r="J64" s="3"/>
      <c r="K64" s="3"/>
    </row>
    <row r="65">
      <c r="A65" s="45" t="s">
        <v>38</v>
      </c>
      <c r="B65" s="45" t="s">
        <v>39</v>
      </c>
      <c r="C65" s="45" t="s">
        <v>38</v>
      </c>
      <c r="D65" s="45" t="s">
        <v>39</v>
      </c>
      <c r="E65" s="45" t="s">
        <v>38</v>
      </c>
      <c r="F65" s="45" t="s">
        <v>39</v>
      </c>
      <c r="G65" s="45" t="s">
        <v>38</v>
      </c>
      <c r="H65" s="45" t="s">
        <v>39</v>
      </c>
      <c r="I65" s="46"/>
      <c r="J65" s="3"/>
      <c r="K65" s="3"/>
    </row>
    <row r="66">
      <c r="A66" s="73">
        <v>46181.0</v>
      </c>
      <c r="B66" s="70"/>
      <c r="C66" s="74">
        <v>46188.0</v>
      </c>
      <c r="D66" s="70"/>
      <c r="E66" s="74">
        <v>46195.0</v>
      </c>
      <c r="F66" s="70"/>
      <c r="G66" s="74">
        <v>46202.0</v>
      </c>
      <c r="H66" s="70"/>
      <c r="I66" s="68">
        <f>B72+D72+F72+H72</f>
        <v>0</v>
      </c>
      <c r="J66" s="3"/>
      <c r="K66" s="3"/>
    </row>
    <row r="67">
      <c r="A67" s="73">
        <v>46182.0</v>
      </c>
      <c r="B67" s="22"/>
      <c r="C67" s="74">
        <v>46189.0</v>
      </c>
      <c r="D67" s="69"/>
      <c r="E67" s="74">
        <v>46196.0</v>
      </c>
      <c r="F67" s="22"/>
      <c r="G67" s="74">
        <v>46203.0</v>
      </c>
      <c r="H67" s="22"/>
      <c r="J67" s="3"/>
      <c r="K67" s="3"/>
    </row>
    <row r="68">
      <c r="A68" s="73">
        <v>46183.0</v>
      </c>
      <c r="B68" s="22"/>
      <c r="C68" s="74">
        <v>46190.0</v>
      </c>
      <c r="D68" s="22"/>
      <c r="E68" s="74">
        <v>46197.0</v>
      </c>
      <c r="F68" s="22"/>
      <c r="G68" s="74">
        <v>46204.0</v>
      </c>
      <c r="H68" s="22"/>
      <c r="J68" s="3"/>
      <c r="K68" s="3"/>
    </row>
    <row r="69">
      <c r="A69" s="73">
        <v>46184.0</v>
      </c>
      <c r="B69" s="22"/>
      <c r="C69" s="74">
        <v>46191.0</v>
      </c>
      <c r="D69" s="70"/>
      <c r="E69" s="74">
        <v>46198.0</v>
      </c>
      <c r="F69" s="70"/>
      <c r="G69" s="74">
        <v>46205.0</v>
      </c>
      <c r="H69" s="70"/>
      <c r="J69" s="3"/>
      <c r="K69" s="3"/>
    </row>
    <row r="70">
      <c r="A70" s="73">
        <v>46185.0</v>
      </c>
      <c r="B70" s="22"/>
      <c r="C70" s="74">
        <v>46192.0</v>
      </c>
      <c r="D70" s="22"/>
      <c r="E70" s="74">
        <v>46199.0</v>
      </c>
      <c r="F70" s="22"/>
      <c r="G70" s="74">
        <v>46206.0</v>
      </c>
      <c r="H70" s="22"/>
      <c r="J70" s="3"/>
      <c r="K70" s="3"/>
    </row>
    <row r="71">
      <c r="A71" s="73">
        <v>46186.0</v>
      </c>
      <c r="B71" s="22"/>
      <c r="C71" s="74">
        <v>46193.0</v>
      </c>
      <c r="D71" s="22"/>
      <c r="E71" s="74">
        <v>46200.0</v>
      </c>
      <c r="F71" s="22"/>
      <c r="G71" s="74">
        <v>46207.0</v>
      </c>
      <c r="H71" s="22"/>
      <c r="J71" s="3"/>
      <c r="K71" s="3"/>
    </row>
    <row r="72">
      <c r="A72" s="11"/>
      <c r="B72" s="71">
        <f>SUM(B66:B71)</f>
        <v>0</v>
      </c>
      <c r="C72" s="12"/>
      <c r="D72" s="71">
        <f>SUM(D66:D71)</f>
        <v>0</v>
      </c>
      <c r="E72" s="12"/>
      <c r="F72" s="71">
        <f>SUM(F66:F71)</f>
        <v>0</v>
      </c>
      <c r="G72" s="12"/>
      <c r="H72" s="71">
        <f>SUM(H66:H71)</f>
        <v>0</v>
      </c>
      <c r="I72" s="77">
        <v>6.0</v>
      </c>
      <c r="J72" s="3"/>
      <c r="K72" s="3"/>
    </row>
    <row r="73">
      <c r="A73" s="64" t="s">
        <v>40</v>
      </c>
      <c r="B73" s="65"/>
      <c r="C73" s="66" t="s">
        <v>40</v>
      </c>
      <c r="D73" s="65"/>
      <c r="E73" s="66" t="s">
        <v>40</v>
      </c>
      <c r="F73" s="65"/>
      <c r="G73" s="66" t="s">
        <v>40</v>
      </c>
      <c r="H73" s="65"/>
      <c r="I73" s="67"/>
      <c r="J73" s="3"/>
      <c r="K73" s="3"/>
    </row>
    <row r="74">
      <c r="A74" s="11"/>
      <c r="J74" s="3"/>
      <c r="K74" s="3"/>
    </row>
    <row r="75"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23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I36:I41"/>
    <mergeCell ref="I46:I51"/>
    <mergeCell ref="I56:I61"/>
    <mergeCell ref="I66:I71"/>
    <mergeCell ref="A54:I54"/>
    <mergeCell ref="A64:I64"/>
    <mergeCell ref="A74:I74"/>
    <mergeCell ref="E10:F11"/>
    <mergeCell ref="G10:G11"/>
    <mergeCell ref="I16:I21"/>
    <mergeCell ref="A24:I24"/>
    <mergeCell ref="I26:I31"/>
    <mergeCell ref="A34:I34"/>
    <mergeCell ref="A44:I44"/>
  </mergeCells>
  <drawing r:id="rId1"/>
</worksheet>
</file>