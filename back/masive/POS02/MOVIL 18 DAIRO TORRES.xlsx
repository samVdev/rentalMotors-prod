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<sst xmlns="http://schemas.openxmlformats.org/spreadsheetml/2006/main" count="329" uniqueCount="56">
  <si>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</si>
  <si>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</si>
  <si>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</si>
  <si>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</si>
  <si>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</si>
  <si>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</si>
  <si>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</si>
  <si>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</si>
  <si>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</si>
  <si>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BOXER</t>
  </si>
  <si>
    <t>BAJAJ</t>
  </si>
  <si>
    <t>EXI78H</t>
  </si>
  <si>
    <t>MOVIL 18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</si>
  <si>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</si>
  <si>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</si>
  <si>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</si>
  <si>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</si>
  <si>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</si>
  <si>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</si>
  <si>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</si>
  <si>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</si>
  <si>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</si>
  <si>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</si>
  <si>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</si>
  <si>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</si>
  <si>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</si>
  <si>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</si>
  <si>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</si>
  <si>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</si>
  <si>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DAIRO TORRES SALCEDO</t>
  </si>
  <si>
    <t xml:space="preserve">COLOMBIANA 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</si>
  <si>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</si>
  <si>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</si>
  <si>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</si>
  <si>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</si>
  <si>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</si>
  <si>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</si>
  <si>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</si>
  <si>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</si>
  <si>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</si>
  <si>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</si>
  <si>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</si>
  <si>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</si>
  <si>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</si>
  <si>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( 1,7)</t>
  </si>
  <si>
    <t>COSTO NETO DE LA MOTO</t>
  </si>
  <si>
    <t>PRESTAMO.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</si>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</sst>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.00"/>
    <numFmt numFmtId="168" formatCode="&quot;$&quot;#,##0"/>
    <numFmt numFmtId="169" formatCode="[$$]#,##0"/>
  </numFmts>
  <fonts count="4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/>
    <font>
      <b/>
      <color theme="1"/>
      <name val="Arial"/>
    </font>
    <font>
      <b/>
      <sz val="13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>
      <b/>
      <sz val="20.0"/>
      <color theme="1"/>
      <name val="Arial"/>
    </font>
    <font>
      <b/>
      <sz val="21.0"/>
      <color theme="1"/>
      <name val="Arial"/>
    </font>
    <font>
      <b/>
      <sz val="19.0"/>
      <color theme="1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30.0"/>
      <color rgb="FFFFFFFF"/>
      <name val="Rockwell"/>
    </font>
    <font>
      <sz val="13.0"/>
      <color theme="1"/>
      <name val="Lucida Sans"/>
    </font>
    <font>
      <b/>
      <sz val="14.0"/>
      <color theme="1"/>
      <name val="Lucida Sans"/>
    </font>
    <font>
      <b/>
      <sz val="14.0"/>
      <color theme="1"/>
      <name val="Nunito"/>
    </font>
    <font>
      <b/>
      <sz val="42.0"/>
      <color rgb="FF404040"/>
      <name val="Lucida Sans"/>
    </font>
    <font>
      <b/>
      <sz val="14.0"/>
      <color theme="1"/>
      <name val="Arial"/>
    </font>
    <font>
      <b/>
      <sz val="13.0"/>
      <color theme="1"/>
      <name val="Lucida Sans"/>
    </font>
    <font>
      <b/>
      <sz val="13.0"/>
      <color rgb="FF0077D9"/>
      <name val="Arial"/>
    </font>
    <font>
      <sz val="29.0"/>
      <color rgb="FFFFFFFF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7.0"/>
      <color theme="1"/>
      <name val="Arial"/>
    </font>
    <font>
      <b/>
      <sz val="12.0"/>
      <color rgb="FFFFFFFF"/>
      <name val="Arial"/>
    </font>
    <font>
      <sz val="16.0"/>
      <color theme="1"/>
      <name val="Arial"/>
    </font>
    <font>
      <sz val="18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AF9F9"/>
        <bgColor rgb="FFFAF9F9"/>
      </patternFill>
    </fill>
    <fill>
      <patternFill patternType="solid">
        <fgColor rgb="FFB6D7A8"/>
        <bgColor rgb="FFB6D7A8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</fills>
  <borders count="2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center" vertical="center"/>
    </xf>
    <xf borderId="1" fillId="3" fontId="6" numFmtId="4" xfId="0" applyAlignment="1" applyBorder="1" applyFont="1" applyNumberFormat="1">
      <alignment horizontal="center" vertical="center"/>
    </xf>
    <xf borderId="1" fillId="3" fontId="6" numFmtId="1" xfId="0" applyAlignment="1" applyBorder="1" applyFont="1" applyNumberFormat="1">
      <alignment horizontal="center" readingOrder="0" vertical="center"/>
    </xf>
    <xf borderId="2" fillId="3" fontId="6" numFmtId="165" xfId="0" applyAlignment="1" applyBorder="1" applyFont="1" applyNumberFormat="1">
      <alignment horizontal="center" vertical="center"/>
    </xf>
    <xf borderId="2" fillId="6" fontId="6" numFmtId="165" xfId="0" applyAlignment="1" applyBorder="1" applyFill="1" applyFont="1" applyNumberFormat="1">
      <alignment horizontal="center" vertical="center"/>
    </xf>
    <xf borderId="0" fillId="7" fontId="7" numFmtId="0" xfId="0" applyAlignment="1" applyFill="1" applyFon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3" fillId="3" fontId="5" numFmtId="0" xfId="0" applyAlignment="1" applyBorder="1" applyFont="1">
      <alignment horizontal="center" readingOrder="0" vertical="bottom"/>
    </xf>
    <xf borderId="4" fillId="0" fontId="10" numFmtId="0" xfId="0" applyBorder="1" applyFont="1"/>
    <xf borderId="0" fillId="3" fontId="11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10" fontId="2" numFmtId="164" xfId="0" applyAlignment="1" applyFill="1" applyFont="1" applyNumberFormat="1">
      <alignment vertical="bottom"/>
    </xf>
    <xf borderId="0" fillId="10" fontId="7" numFmtId="164" xfId="0" applyAlignment="1" applyFont="1" applyNumberFormat="1">
      <alignment horizontal="center" vertical="bottom"/>
    </xf>
    <xf borderId="0" fillId="11" fontId="12" numFmtId="164" xfId="0" applyAlignment="1" applyFill="1" applyFont="1" applyNumberFormat="1">
      <alignment horizontal="center" readingOrder="0" vertical="bottom"/>
    </xf>
    <xf borderId="0" fillId="12" fontId="2" numFmtId="0" xfId="0" applyAlignment="1" applyFill="1" applyFont="1">
      <alignment vertical="bottom"/>
    </xf>
    <xf borderId="5" fillId="12" fontId="2" numFmtId="0" xfId="0" applyAlignment="1" applyBorder="1" applyFont="1">
      <alignment vertical="bottom"/>
    </xf>
    <xf borderId="5" fillId="12" fontId="2" numFmtId="164" xfId="0" applyAlignment="1" applyBorder="1" applyFont="1" applyNumberFormat="1">
      <alignment vertical="bottom"/>
    </xf>
    <xf borderId="6" fillId="12" fontId="13" numFmtId="0" xfId="0" applyAlignment="1" applyBorder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7" fillId="0" fontId="10" numFmtId="0" xfId="0" applyBorder="1" applyFont="1"/>
    <xf borderId="0" fillId="12" fontId="16" numFmtId="164" xfId="0" applyAlignment="1" applyFont="1" applyNumberFormat="1">
      <alignment horizontal="center" vertical="center"/>
    </xf>
    <xf borderId="0" fillId="11" fontId="17" numFmtId="164" xfId="0" applyAlignment="1" applyFont="1" applyNumberFormat="1">
      <alignment horizontal="center" vertical="center"/>
    </xf>
    <xf borderId="0" fillId="11" fontId="16" numFmtId="164" xfId="0" applyAlignment="1" applyFont="1" applyNumberFormat="1">
      <alignment horizontal="center" vertical="bottom"/>
    </xf>
    <xf borderId="0" fillId="11" fontId="18" numFmtId="164" xfId="0" applyAlignment="1" applyFont="1" applyNumberFormat="1">
      <alignment horizontal="center" readingOrder="0" vertical="center"/>
    </xf>
    <xf borderId="7" fillId="12" fontId="19" numFmtId="0" xfId="0" applyAlignment="1" applyBorder="1" applyFont="1">
      <alignment horizontal="center" vertical="bottom"/>
    </xf>
    <xf borderId="8" fillId="0" fontId="10" numFmtId="0" xfId="0" applyBorder="1" applyFont="1"/>
    <xf borderId="0" fillId="13" fontId="14" numFmtId="0" xfId="0" applyAlignment="1" applyFill="1" applyFont="1">
      <alignment vertical="bottom"/>
    </xf>
    <xf borderId="9" fillId="13" fontId="2" numFmtId="0" xfId="0" applyAlignment="1" applyBorder="1" applyFont="1">
      <alignment vertical="bottom"/>
    </xf>
    <xf borderId="10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4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5" fontId="2" numFmtId="166" xfId="0" applyAlignment="1" applyFill="1" applyFont="1" applyNumberFormat="1">
      <alignment vertical="bottom"/>
    </xf>
    <xf borderId="0" fillId="16" fontId="2" numFmtId="4" xfId="0" applyAlignment="1" applyFill="1" applyFont="1" applyNumberFormat="1">
      <alignment vertical="bottom"/>
    </xf>
    <xf borderId="0" fillId="15" fontId="20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vertical="bottom"/>
    </xf>
    <xf borderId="0" fillId="12" fontId="2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center"/>
    </xf>
    <xf borderId="0" fillId="16" fontId="2" numFmtId="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center"/>
    </xf>
    <xf borderId="0" fillId="16" fontId="2" numFmtId="4" xfId="0" applyAlignment="1" applyFont="1" applyNumberFormat="1">
      <alignment readingOrder="0" vertical="bottom"/>
    </xf>
    <xf borderId="0" fillId="16" fontId="20" numFmtId="4" xfId="0" applyAlignment="1" applyFont="1" applyNumberFormat="1">
      <alignment horizontal="center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7" fontId="2" numFmtId="0" xfId="0" applyAlignment="1" applyFill="1" applyFont="1">
      <alignment vertical="bottom"/>
    </xf>
    <xf borderId="0" fillId="12" fontId="23" numFmtId="0" xfId="0" applyAlignment="1" applyFont="1">
      <alignment horizontal="center" vertical="bottom"/>
    </xf>
    <xf borderId="0" fillId="16" fontId="2" numFmtId="164" xfId="0" applyAlignment="1" applyFont="1" applyNumberFormat="1">
      <alignment horizontal="center" vertical="bottom"/>
    </xf>
    <xf borderId="0" fillId="16" fontId="2" numFmtId="164" xfId="0" applyAlignment="1" applyFont="1" applyNumberFormat="1">
      <alignment vertical="bottom"/>
    </xf>
    <xf borderId="0" fillId="16" fontId="2" numFmtId="166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16" fontId="2" numFmtId="168" xfId="0" applyAlignment="1" applyFont="1" applyNumberFormat="1">
      <alignment vertical="bottom"/>
    </xf>
    <xf borderId="0" fillId="12" fontId="21" numFmtId="164" xfId="0" applyAlignment="1" applyFont="1" applyNumberFormat="1">
      <alignment horizontal="center" vertical="center"/>
    </xf>
    <xf borderId="0" fillId="18" fontId="2" numFmtId="0" xfId="0" applyAlignment="1" applyFill="1" applyFont="1">
      <alignment vertical="bottom"/>
    </xf>
    <xf borderId="0" fillId="4" fontId="15" numFmtId="164" xfId="0" applyAlignment="1" applyFont="1" applyNumberFormat="1">
      <alignment horizontal="center" vertical="center"/>
    </xf>
    <xf borderId="0" fillId="4" fontId="15" numFmtId="0" xfId="0" applyAlignment="1" applyFont="1">
      <alignment horizontal="center" vertical="center"/>
    </xf>
    <xf borderId="0" fillId="4" fontId="22" numFmtId="0" xfId="0" applyAlignment="1" applyFont="1">
      <alignment horizontal="center" readingOrder="0" vertical="bottom"/>
    </xf>
    <xf borderId="0" fillId="4" fontId="2" numFmtId="0" xfId="0" applyAlignment="1" applyFont="1">
      <alignment readingOrder="0" vertical="bottom"/>
    </xf>
    <xf borderId="0" fillId="16" fontId="2" numFmtId="0" xfId="0" applyAlignment="1" applyFont="1">
      <alignment vertical="bottom"/>
    </xf>
    <xf borderId="0" fillId="4" fontId="15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15" numFmtId="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15" fontId="2" numFmtId="166" xfId="0" applyAlignment="1" applyFont="1" applyNumberFormat="1">
      <alignment horizontal="center" vertical="bottom"/>
    </xf>
    <xf borderId="0" fillId="19" fontId="2" numFmtId="166" xfId="0" applyAlignment="1" applyFill="1" applyFont="1" applyNumberFormat="1">
      <alignment horizontal="center" vertical="bottom"/>
    </xf>
    <xf borderId="0" fillId="11" fontId="2" numFmtId="168" xfId="0" applyAlignment="1" applyFont="1" applyNumberFormat="1">
      <alignment vertical="bottom"/>
    </xf>
    <xf borderId="0" fillId="11" fontId="2" numFmtId="0" xfId="0" applyAlignment="1" applyFont="1">
      <alignment vertical="bottom"/>
    </xf>
    <xf borderId="0" fillId="16" fontId="2" numFmtId="164" xfId="0" applyAlignment="1" applyFont="1" applyNumberFormat="1">
      <alignment horizontal="center" readingOrder="0" vertical="bottom"/>
    </xf>
    <xf borderId="0" fillId="16" fontId="2" numFmtId="167" xfId="0" applyAlignment="1" applyFont="1" applyNumberFormat="1">
      <alignment horizontal="center"/>
    </xf>
    <xf borderId="0" fillId="11" fontId="2" numFmtId="167" xfId="0" applyAlignment="1" applyFont="1" applyNumberFormat="1">
      <alignment vertical="bottom"/>
    </xf>
    <xf borderId="0" fillId="11" fontId="2" numFmtId="164" xfId="0" applyAlignment="1" applyFont="1" applyNumberFormat="1">
      <alignment vertical="bottom"/>
    </xf>
    <xf borderId="0" fillId="0" fontId="2" numFmtId="167" xfId="0" applyAlignment="1" applyFont="1" applyNumberFormat="1">
      <alignment horizontal="center"/>
    </xf>
    <xf borderId="0" fillId="11" fontId="2" numFmtId="167" xfId="0" applyAlignment="1" applyFont="1" applyNumberFormat="1">
      <alignment horizontal="center" vertical="bottom"/>
    </xf>
    <xf borderId="0" fillId="16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16" fontId="2" numFmtId="167" xfId="0" applyAlignment="1" applyFont="1" applyNumberFormat="1">
      <alignment horizontal="center" vertical="bottom"/>
    </xf>
    <xf borderId="0" fillId="15" fontId="2" numFmtId="166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readingOrder="0" vertical="bottom"/>
    </xf>
    <xf borderId="0" fillId="16" fontId="11" numFmtId="164" xfId="0" applyAlignment="1" applyFont="1" applyNumberFormat="1">
      <alignment horizontal="center" readingOrder="0" vertical="bottom"/>
    </xf>
    <xf borderId="0" fillId="12" fontId="23" numFmtId="0" xfId="0" applyAlignment="1" applyFont="1">
      <alignment horizontal="center" readingOrder="0" vertical="bottom"/>
    </xf>
    <xf borderId="11" fillId="17" fontId="24" numFmtId="0" xfId="0" applyAlignment="1" applyBorder="1" applyFont="1">
      <alignment horizontal="center" vertical="bottom"/>
    </xf>
    <xf borderId="12" fillId="0" fontId="10" numFmtId="0" xfId="0" applyBorder="1" applyFont="1"/>
    <xf borderId="13" fillId="0" fontId="10" numFmtId="0" xfId="0" applyBorder="1" applyFont="1"/>
    <xf borderId="14" fillId="4" fontId="2" numFmtId="0" xfId="0" applyAlignment="1" applyBorder="1" applyFont="1">
      <alignment vertical="bottom"/>
    </xf>
    <xf borderId="15" fillId="4" fontId="2" numFmtId="0" xfId="0" applyAlignment="1" applyBorder="1" applyFont="1">
      <alignment vertical="bottom"/>
    </xf>
    <xf borderId="16" fillId="20" fontId="25" numFmtId="0" xfId="0" applyAlignment="1" applyBorder="1" applyFill="1" applyFont="1">
      <alignment horizontal="center" vertical="bottom"/>
    </xf>
    <xf borderId="17" fillId="0" fontId="10" numFmtId="0" xfId="0" applyBorder="1" applyFont="1"/>
    <xf borderId="18" fillId="20" fontId="26" numFmtId="166" xfId="0" applyAlignment="1" applyBorder="1" applyFont="1" applyNumberFormat="1">
      <alignment horizontal="center" vertical="bottom"/>
    </xf>
    <xf borderId="19" fillId="0" fontId="10" numFmtId="0" xfId="0" applyBorder="1" applyFont="1"/>
    <xf borderId="20" fillId="0" fontId="10" numFmtId="0" xfId="0" applyBorder="1" applyFont="1"/>
    <xf borderId="21" fillId="21" fontId="27" numFmtId="0" xfId="0" applyAlignment="1" applyBorder="1" applyFill="1" applyFont="1">
      <alignment vertical="bottom"/>
    </xf>
    <xf borderId="22" fillId="21" fontId="28" numFmtId="166" xfId="0" applyAlignment="1" applyBorder="1" applyFont="1" applyNumberFormat="1">
      <alignment horizontal="center" vertical="center"/>
    </xf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1" fillId="12" fontId="29" numFmtId="169" xfId="0" applyAlignment="1" applyBorder="1" applyFont="1" applyNumberFormat="1">
      <alignment horizontal="center" vertical="center"/>
    </xf>
    <xf borderId="0" fillId="0" fontId="30" numFmtId="49" xfId="0" applyAlignment="1" applyFont="1" applyNumberFormat="1">
      <alignment horizontal="center" vertical="center"/>
    </xf>
    <xf borderId="1" fillId="12" fontId="31" numFmtId="169" xfId="0" applyAlignment="1" applyBorder="1" applyFont="1" applyNumberFormat="1">
      <alignment horizontal="center" vertical="center"/>
    </xf>
    <xf borderId="16" fillId="21" fontId="27" numFmtId="0" xfId="0" applyAlignment="1" applyBorder="1" applyFont="1">
      <alignment vertical="bottom"/>
    </xf>
    <xf borderId="21" fillId="21" fontId="32" numFmtId="0" xfId="0" applyAlignment="1" applyBorder="1" applyFont="1">
      <alignment vertical="bottom"/>
    </xf>
    <xf borderId="0" fillId="22" fontId="28" numFmtId="3" xfId="0" applyAlignment="1" applyFill="1" applyFont="1" applyNumberFormat="1">
      <alignment horizontal="center" vertical="center"/>
    </xf>
    <xf borderId="0" fillId="22" fontId="31" numFmtId="3" xfId="0" applyAlignment="1" applyFont="1" applyNumberFormat="1">
      <alignment horizontal="center" vertical="center"/>
    </xf>
    <xf borderId="0" fillId="9" fontId="33" numFmtId="0" xfId="0" applyAlignment="1" applyFont="1">
      <alignment shrinkToFit="0" vertical="bottom" wrapText="1"/>
    </xf>
    <xf borderId="0" fillId="22" fontId="31" numFmtId="164" xfId="0" applyAlignment="1" applyFont="1" applyNumberFormat="1">
      <alignment horizontal="center" vertical="center"/>
    </xf>
    <xf borderId="0" fillId="12" fontId="34" numFmtId="167" xfId="0" applyAlignment="1" applyFont="1" applyNumberFormat="1">
      <alignment horizontal="center" vertical="bottom"/>
    </xf>
    <xf borderId="0" fillId="9" fontId="9" numFmtId="0" xfId="0" applyAlignment="1" applyFont="1">
      <alignment shrinkToFit="0" vertical="bottom" wrapText="1"/>
    </xf>
    <xf borderId="0" fillId="12" fontId="35" numFmtId="0" xfId="0" applyAlignment="1" applyFont="1">
      <alignment vertical="bottom"/>
    </xf>
    <xf borderId="0" fillId="12" fontId="32" numFmtId="164" xfId="0" applyAlignment="1" applyFont="1" applyNumberFormat="1">
      <alignment horizontal="center" vertical="bottom"/>
    </xf>
    <xf borderId="0" fillId="16" fontId="36" numFmtId="168" xfId="0" applyAlignment="1" applyFont="1" applyNumberFormat="1">
      <alignment horizontal="center" vertical="bottom"/>
    </xf>
    <xf borderId="26" fillId="12" fontId="27" numFmtId="0" xfId="0" applyAlignment="1" applyBorder="1" applyFont="1">
      <alignment vertical="bottom"/>
    </xf>
    <xf borderId="27" fillId="12" fontId="32" numFmtId="3" xfId="0" applyAlignment="1" applyBorder="1" applyFont="1" applyNumberFormat="1">
      <alignment horizontal="center" vertical="bottom"/>
    </xf>
    <xf borderId="21" fillId="23" fontId="37" numFmtId="0" xfId="0" applyAlignment="1" applyBorder="1" applyFill="1" applyFont="1">
      <alignment shrinkToFit="0" vertical="bottom" wrapText="1"/>
    </xf>
    <xf borderId="0" fillId="23" fontId="38" numFmtId="3" xfId="0" applyAlignment="1" applyFont="1" applyNumberFormat="1">
      <alignment horizontal="center" vertical="center"/>
    </xf>
    <xf borderId="0" fillId="12" fontId="39" numFmtId="0" xfId="0" applyAlignment="1" applyFont="1">
      <alignment horizontal="center" vertical="bottom"/>
    </xf>
    <xf borderId="0" fillId="12" fontId="39" numFmtId="0" xfId="0" applyAlignment="1" applyFont="1">
      <alignment horizontal="center" shrinkToFit="0" vertical="bottom" wrapText="1"/>
    </xf>
    <xf borderId="0" fillId="6" fontId="40" numFmtId="164" xfId="0" applyAlignment="1" applyFont="1" applyNumberFormat="1">
      <alignment horizontal="center" vertical="bottom"/>
    </xf>
    <xf borderId="0" fillId="17" fontId="40" numFmtId="164" xfId="0" applyAlignment="1" applyFont="1" applyNumberFormat="1">
      <alignment horizontal="center" vertical="bottom"/>
    </xf>
    <xf borderId="0" fillId="12" fontId="41" numFmtId="164" xfId="0" applyAlignment="1" applyFont="1" applyNumberFormat="1">
      <alignment horizontal="center" vertical="center"/>
    </xf>
    <xf borderId="0" fillId="4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1495425</xdr:colOff>
      <xdr:row>0</xdr:row>
      <xdr:rowOff>28575</xdr:rowOff>
    </xdr:from>
    <xdr:ext cx="1552575" cy="2667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1457325</xdr:colOff>
      <xdr:row>3</xdr:row>
      <xdr:rowOff>209550</xdr:rowOff>
    </xdr:from>
    <xdr:ext cx="1085850" cy="1390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7.25"/>
    <col customWidth="1" min="2" max="2" width="16.0"/>
    <col customWidth="1" min="3" max="3" width="16.63"/>
    <col customWidth="1" min="4" max="4" width="16.25"/>
    <col customWidth="1" min="5" max="5" width="15.25"/>
    <col customWidth="1" min="6" max="6" width="15.75"/>
    <col customWidth="1" min="7" max="7" width="17.0"/>
    <col customWidth="1" min="8" max="8" width="19.63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>
        <v>2025.0</v>
      </c>
      <c r="D2" s="4" t="s">
        <v>10</v>
      </c>
      <c r="E2" s="4" t="s">
        <v>11</v>
      </c>
      <c r="F2" s="6" t="s">
        <v>12</v>
      </c>
      <c r="G2" s="7">
        <v>6800000.0</v>
      </c>
      <c r="H2" s="7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8"/>
      <c r="C3" s="8"/>
      <c r="D3" s="8"/>
      <c r="E3" s="8"/>
      <c r="F3" s="8"/>
      <c r="G3" s="8"/>
      <c r="H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f>G2-H2</f>
        <v>6000000</v>
      </c>
      <c r="B5" s="12">
        <f>A5*1.69</f>
        <v>10140000</v>
      </c>
      <c r="C5" s="13">
        <f>A5+B5</f>
        <v>16140000</v>
      </c>
      <c r="D5" s="14">
        <v>24.0</v>
      </c>
      <c r="E5" s="15">
        <f>C5/D5</f>
        <v>672500</v>
      </c>
      <c r="F5" s="15">
        <f t="shared" ref="F5:G5" si="1">E5/2</f>
        <v>336250</v>
      </c>
      <c r="G5" s="16">
        <f t="shared" si="1"/>
        <v>168125</v>
      </c>
      <c r="H5" s="15">
        <f>G5/6</f>
        <v>28020.83333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0" t="s">
        <v>29</v>
      </c>
      <c r="B7" s="21"/>
      <c r="C7" s="22">
        <v>9204960.0</v>
      </c>
      <c r="D7" s="23" t="s">
        <v>30</v>
      </c>
      <c r="E7" s="24"/>
      <c r="F7" s="25">
        <v>0.0</v>
      </c>
      <c r="G7" s="25">
        <v>280000.0</v>
      </c>
      <c r="H7" s="26">
        <v>201000.0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/>
      <c r="B8" s="27"/>
      <c r="C8" s="27"/>
      <c r="D8" s="27"/>
      <c r="E8" s="28"/>
      <c r="F8" s="29"/>
      <c r="G8" s="24"/>
      <c r="H8" s="30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1" t="s">
        <v>31</v>
      </c>
      <c r="C9" s="32" t="s">
        <v>32</v>
      </c>
      <c r="E9" s="32" t="s">
        <v>33</v>
      </c>
      <c r="G9" s="32" t="s">
        <v>34</v>
      </c>
      <c r="H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>
        <f>I14+I24+I34+I44+I54+I64+I74+I84+I94+I103+I113+I122+I131+I140+I149+I158+I167+I176+I185+I194+I203+I212</f>
        <v>14111000</v>
      </c>
      <c r="C10" s="35">
        <f>C5-A10</f>
        <v>2029000</v>
      </c>
      <c r="E10" s="36">
        <f>C10+G10+G7</f>
        <v>2510000</v>
      </c>
      <c r="G10" s="37">
        <f>H7</f>
        <v>201000</v>
      </c>
      <c r="H10" s="38">
        <f>I21+I31+I41+I51+I61+I71+I81+I91+I101+I110+I120+I129+I138+I147+I156+I165+I174+I183+I192+I201+I210+I219+I228</f>
        <v>21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0" t="s">
        <v>35</v>
      </c>
      <c r="E12" s="41"/>
      <c r="F12" s="42"/>
      <c r="G12" s="42"/>
      <c r="H12" s="4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4" t="s">
        <v>36</v>
      </c>
      <c r="B13" s="44" t="s">
        <v>37</v>
      </c>
      <c r="C13" s="44" t="s">
        <v>36</v>
      </c>
      <c r="D13" s="44" t="s">
        <v>37</v>
      </c>
      <c r="E13" s="44" t="s">
        <v>36</v>
      </c>
      <c r="F13" s="44" t="s">
        <v>37</v>
      </c>
      <c r="G13" s="44" t="s">
        <v>36</v>
      </c>
      <c r="H13" s="44" t="s">
        <v>37</v>
      </c>
      <c r="I13" s="4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6"/>
      <c r="B14" s="47"/>
      <c r="C14" s="48">
        <v>45558.0</v>
      </c>
      <c r="D14" s="47"/>
      <c r="E14" s="48">
        <v>45565.0</v>
      </c>
      <c r="F14" s="49"/>
      <c r="G14" s="48">
        <v>45572.0</v>
      </c>
      <c r="H14" s="47"/>
      <c r="I14" s="50">
        <f>B20+D20+F20+H20</f>
        <v>560000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/>
      <c r="B15" s="47"/>
      <c r="C15" s="48">
        <v>45559.0</v>
      </c>
      <c r="D15" s="47"/>
      <c r="E15" s="48">
        <v>45566.0</v>
      </c>
      <c r="F15" s="51"/>
      <c r="G15" s="48">
        <v>45573.0</v>
      </c>
      <c r="H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6"/>
      <c r="B16" s="47"/>
      <c r="C16" s="48">
        <v>45560.0</v>
      </c>
      <c r="D16" s="52">
        <v>168000.0</v>
      </c>
      <c r="E16" s="48">
        <v>45567.0</v>
      </c>
      <c r="F16" s="53">
        <v>168000.0</v>
      </c>
      <c r="G16" s="48">
        <v>45574.0</v>
      </c>
      <c r="H16" s="54">
        <v>168000.0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6"/>
      <c r="B17" s="47"/>
      <c r="C17" s="48">
        <v>45561.0</v>
      </c>
      <c r="D17" s="47"/>
      <c r="E17" s="48">
        <v>45568.0</v>
      </c>
      <c r="F17" s="51"/>
      <c r="G17" s="48">
        <v>45575.0</v>
      </c>
      <c r="H17" s="4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8">
        <v>45555.0</v>
      </c>
      <c r="B18" s="55">
        <v>28000.0</v>
      </c>
      <c r="C18" s="48">
        <v>45562.0</v>
      </c>
      <c r="D18" s="47"/>
      <c r="E18" s="48">
        <v>45569.0</v>
      </c>
      <c r="F18" s="51"/>
      <c r="G18" s="48">
        <v>45576.0</v>
      </c>
      <c r="H18" s="4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8">
        <v>45556.0</v>
      </c>
      <c r="B19" s="55">
        <v>28000.0</v>
      </c>
      <c r="C19" s="48">
        <v>45563.0</v>
      </c>
      <c r="D19" s="47"/>
      <c r="E19" s="48">
        <v>45570.0</v>
      </c>
      <c r="F19" s="3"/>
      <c r="G19" s="48">
        <v>45577.0</v>
      </c>
      <c r="H19" s="4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56">
        <f>SUM(B14:B19)</f>
        <v>56000</v>
      </c>
      <c r="C20" s="8"/>
      <c r="D20" s="56">
        <f>SUM(D14:D19)</f>
        <v>168000</v>
      </c>
      <c r="E20" s="8"/>
      <c r="F20" s="56">
        <f>SUM(F14:F19)</f>
        <v>168000</v>
      </c>
      <c r="G20" s="8"/>
      <c r="H20" s="56">
        <f>SUM(H14:H19)</f>
        <v>168000</v>
      </c>
      <c r="I20" s="57">
        <v>1.0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8" t="s">
        <v>38</v>
      </c>
      <c r="B21" s="59"/>
      <c r="C21" s="58" t="s">
        <v>38</v>
      </c>
      <c r="D21" s="59"/>
      <c r="E21" s="58" t="s">
        <v>38</v>
      </c>
      <c r="F21" s="59"/>
      <c r="G21" s="58" t="s">
        <v>38</v>
      </c>
      <c r="H21" s="59"/>
      <c r="I21" s="60">
        <v>1.0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4" t="s">
        <v>36</v>
      </c>
      <c r="B23" s="44" t="s">
        <v>37</v>
      </c>
      <c r="C23" s="44" t="s">
        <v>36</v>
      </c>
      <c r="D23" s="44" t="s">
        <v>37</v>
      </c>
      <c r="E23" s="44" t="s">
        <v>36</v>
      </c>
      <c r="F23" s="44" t="s">
        <v>37</v>
      </c>
      <c r="G23" s="44" t="s">
        <v>36</v>
      </c>
      <c r="H23" s="44" t="s">
        <v>37</v>
      </c>
      <c r="I23" s="4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8">
        <v>45579.0</v>
      </c>
      <c r="B24" s="61">
        <v>168000.0</v>
      </c>
      <c r="C24" s="48">
        <v>45586.0</v>
      </c>
      <c r="D24" s="61">
        <v>168000.0</v>
      </c>
      <c r="E24" s="48">
        <v>45593.0</v>
      </c>
      <c r="F24" s="61">
        <v>168000.0</v>
      </c>
      <c r="G24" s="48">
        <v>45600.0</v>
      </c>
      <c r="H24" s="61">
        <v>168000.0</v>
      </c>
      <c r="I24" s="50">
        <f>B30+D30+F30+H30</f>
        <v>672000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8">
        <v>45580.0</v>
      </c>
      <c r="B25" s="47"/>
      <c r="C25" s="48">
        <v>45587.0</v>
      </c>
      <c r="D25" s="62"/>
      <c r="E25" s="48">
        <v>45594.0</v>
      </c>
      <c r="F25" s="62"/>
      <c r="G25" s="48">
        <v>45601.0</v>
      </c>
      <c r="H25" s="6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8">
        <v>45581.0</v>
      </c>
      <c r="B26" s="63"/>
      <c r="C26" s="48">
        <v>45588.0</v>
      </c>
      <c r="D26" s="62"/>
      <c r="E26" s="48">
        <v>45595.0</v>
      </c>
      <c r="F26" s="62"/>
      <c r="G26" s="48">
        <v>45602.0</v>
      </c>
      <c r="H26" s="6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8">
        <v>45582.0</v>
      </c>
      <c r="B27" s="63"/>
      <c r="C27" s="48">
        <v>45589.0</v>
      </c>
      <c r="D27" s="62"/>
      <c r="E27" s="48">
        <v>45596.0</v>
      </c>
      <c r="F27" s="62"/>
      <c r="G27" s="48">
        <v>45603.0</v>
      </c>
      <c r="H27" s="6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8">
        <v>45583.0</v>
      </c>
      <c r="B28" s="47"/>
      <c r="C28" s="48">
        <v>45590.0</v>
      </c>
      <c r="D28" s="62"/>
      <c r="E28" s="48">
        <v>45597.0</v>
      </c>
      <c r="F28" s="62"/>
      <c r="G28" s="48">
        <v>45604.0</v>
      </c>
      <c r="H28" s="6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8">
        <v>45584.0</v>
      </c>
      <c r="B29" s="47"/>
      <c r="C29" s="48">
        <v>45591.0</v>
      </c>
      <c r="D29" s="62"/>
      <c r="E29" s="48">
        <v>45598.0</v>
      </c>
      <c r="F29" s="62"/>
      <c r="G29" s="48">
        <v>45605.0</v>
      </c>
      <c r="H29" s="6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56">
        <f>SUM(B24:B29)</f>
        <v>168000</v>
      </c>
      <c r="C30" s="8"/>
      <c r="D30" s="56">
        <f>SUM(D24:D29)</f>
        <v>168000</v>
      </c>
      <c r="E30" s="8"/>
      <c r="F30" s="56">
        <f>SUM(F24:F29)</f>
        <v>168000</v>
      </c>
      <c r="G30" s="8"/>
      <c r="H30" s="56">
        <f>SUM(H24:H29)</f>
        <v>168000</v>
      </c>
      <c r="I30" s="57">
        <v>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8" t="s">
        <v>38</v>
      </c>
      <c r="B31" s="59"/>
      <c r="C31" s="58" t="s">
        <v>38</v>
      </c>
      <c r="D31" s="59"/>
      <c r="E31" s="58" t="s">
        <v>38</v>
      </c>
      <c r="F31" s="59"/>
      <c r="G31" s="58" t="s">
        <v>38</v>
      </c>
      <c r="H31" s="59"/>
      <c r="I31" s="60">
        <v>1.0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4" t="s">
        <v>36</v>
      </c>
      <c r="B33" s="44" t="s">
        <v>37</v>
      </c>
      <c r="C33" s="44" t="s">
        <v>36</v>
      </c>
      <c r="D33" s="44" t="s">
        <v>37</v>
      </c>
      <c r="E33" s="44" t="s">
        <v>36</v>
      </c>
      <c r="F33" s="44" t="s">
        <v>37</v>
      </c>
      <c r="G33" s="44" t="s">
        <v>36</v>
      </c>
      <c r="H33" s="44" t="s">
        <v>37</v>
      </c>
      <c r="I33" s="4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8">
        <v>45607.0</v>
      </c>
      <c r="B34" s="61">
        <v>168000.0</v>
      </c>
      <c r="C34" s="48">
        <v>45614.0</v>
      </c>
      <c r="D34" s="61">
        <v>168000.0</v>
      </c>
      <c r="E34" s="48">
        <v>45621.0</v>
      </c>
      <c r="F34" s="61">
        <v>168000.0</v>
      </c>
      <c r="G34" s="48">
        <v>45628.0</v>
      </c>
      <c r="H34" s="61">
        <v>168000.0</v>
      </c>
      <c r="I34" s="50">
        <f>B40+D40+F40+H40</f>
        <v>672000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8">
        <v>45608.0</v>
      </c>
      <c r="B35" s="64"/>
      <c r="C35" s="48">
        <v>45615.0</v>
      </c>
      <c r="D35" s="64"/>
      <c r="E35" s="48">
        <v>45622.0</v>
      </c>
      <c r="F35" s="64"/>
      <c r="G35" s="48">
        <v>45629.0</v>
      </c>
      <c r="H35" s="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8">
        <v>45609.0</v>
      </c>
      <c r="B36" s="64"/>
      <c r="C36" s="48">
        <v>45616.0</v>
      </c>
      <c r="D36" s="64"/>
      <c r="E36" s="48">
        <v>45623.0</v>
      </c>
      <c r="F36" s="64"/>
      <c r="G36" s="48">
        <v>45630.0</v>
      </c>
      <c r="H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8">
        <v>45610.0</v>
      </c>
      <c r="B37" s="64"/>
      <c r="C37" s="48">
        <v>45617.0</v>
      </c>
      <c r="D37" s="64"/>
      <c r="E37" s="48">
        <v>45624.0</v>
      </c>
      <c r="F37" s="64"/>
      <c r="G37" s="48">
        <v>45631.0</v>
      </c>
      <c r="H37" s="6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8">
        <v>45611.0</v>
      </c>
      <c r="B38" s="64"/>
      <c r="C38" s="48">
        <v>45618.0</v>
      </c>
      <c r="D38" s="64"/>
      <c r="E38" s="48">
        <v>45625.0</v>
      </c>
      <c r="F38" s="64"/>
      <c r="G38" s="48">
        <v>45632.0</v>
      </c>
      <c r="H38" s="6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8">
        <v>45612.0</v>
      </c>
      <c r="B39" s="64"/>
      <c r="C39" s="48">
        <v>45619.0</v>
      </c>
      <c r="D39" s="64"/>
      <c r="E39" s="48">
        <v>45626.0</v>
      </c>
      <c r="F39" s="64"/>
      <c r="G39" s="48">
        <v>45633.0</v>
      </c>
      <c r="H39" s="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56">
        <f>SUM(B34:B39)</f>
        <v>168000</v>
      </c>
      <c r="C40" s="8"/>
      <c r="D40" s="56">
        <f>SUM(D34:D39)</f>
        <v>168000</v>
      </c>
      <c r="E40" s="8"/>
      <c r="F40" s="56">
        <f>SUM(F34:F39)</f>
        <v>168000</v>
      </c>
      <c r="G40" s="8"/>
      <c r="H40" s="56">
        <f>SUM(H34:H39)</f>
        <v>168000</v>
      </c>
      <c r="I40" s="57">
        <v>3.0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8" t="s">
        <v>38</v>
      </c>
      <c r="B41" s="59"/>
      <c r="C41" s="58" t="s">
        <v>38</v>
      </c>
      <c r="D41" s="59"/>
      <c r="E41" s="58" t="s">
        <v>38</v>
      </c>
      <c r="F41" s="59"/>
      <c r="G41" s="58" t="s">
        <v>38</v>
      </c>
      <c r="H41" s="59"/>
      <c r="I41" s="60">
        <v>1.0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4" t="s">
        <v>36</v>
      </c>
      <c r="B43" s="44" t="s">
        <v>37</v>
      </c>
      <c r="C43" s="44" t="s">
        <v>36</v>
      </c>
      <c r="D43" s="44" t="s">
        <v>37</v>
      </c>
      <c r="E43" s="44" t="s">
        <v>36</v>
      </c>
      <c r="F43" s="44" t="s">
        <v>37</v>
      </c>
      <c r="G43" s="44" t="s">
        <v>36</v>
      </c>
      <c r="H43" s="44" t="s">
        <v>37</v>
      </c>
      <c r="I43" s="4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8">
        <v>45635.0</v>
      </c>
      <c r="B44" s="61">
        <v>168000.0</v>
      </c>
      <c r="C44" s="48">
        <v>45642.0</v>
      </c>
      <c r="D44" s="61">
        <v>168000.0</v>
      </c>
      <c r="E44" s="48">
        <v>45649.0</v>
      </c>
      <c r="F44" s="61">
        <v>168000.0</v>
      </c>
      <c r="G44" s="48">
        <v>45656.0</v>
      </c>
      <c r="H44" s="61">
        <v>168000.0</v>
      </c>
      <c r="I44" s="50">
        <f>B50+D50+F50+H50</f>
        <v>672000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8">
        <v>45636.0</v>
      </c>
      <c r="B45" s="2"/>
      <c r="C45" s="48">
        <v>45643.0</v>
      </c>
      <c r="D45" s="2"/>
      <c r="E45" s="48">
        <v>45650.0</v>
      </c>
      <c r="F45" s="2"/>
      <c r="G45" s="48">
        <v>45657.0</v>
      </c>
      <c r="H45" s="4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8">
        <v>45637.0</v>
      </c>
      <c r="B46" s="2"/>
      <c r="C46" s="48">
        <v>45644.0</v>
      </c>
      <c r="D46" s="2"/>
      <c r="E46" s="48">
        <v>45651.0</v>
      </c>
      <c r="F46" s="2"/>
      <c r="G46" s="48">
        <v>45658.0</v>
      </c>
      <c r="H46" s="4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8">
        <v>45638.0</v>
      </c>
      <c r="B47" s="2"/>
      <c r="C47" s="48">
        <v>45645.0</v>
      </c>
      <c r="D47" s="2"/>
      <c r="E47" s="48">
        <v>45652.0</v>
      </c>
      <c r="F47" s="2"/>
      <c r="G47" s="48">
        <v>45659.0</v>
      </c>
      <c r="H47" s="4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8">
        <v>45639.0</v>
      </c>
      <c r="B48" s="2"/>
      <c r="C48" s="48">
        <v>45646.0</v>
      </c>
      <c r="D48" s="2"/>
      <c r="E48" s="48">
        <v>45653.0</v>
      </c>
      <c r="F48" s="2"/>
      <c r="G48" s="48">
        <v>45660.0</v>
      </c>
      <c r="H48" s="4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8">
        <v>45640.0</v>
      </c>
      <c r="B49" s="2"/>
      <c r="C49" s="48">
        <v>45647.0</v>
      </c>
      <c r="D49" s="2"/>
      <c r="E49" s="48">
        <v>45654.0</v>
      </c>
      <c r="F49" s="2"/>
      <c r="G49" s="48">
        <v>45661.0</v>
      </c>
      <c r="H49" s="4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56">
        <f>SUM(B44:B49)</f>
        <v>168000</v>
      </c>
      <c r="C50" s="8"/>
      <c r="D50" s="56">
        <f>SUM(D44:D49)</f>
        <v>168000</v>
      </c>
      <c r="E50" s="8"/>
      <c r="F50" s="56">
        <f>SUM(F44:F49)</f>
        <v>168000</v>
      </c>
      <c r="G50" s="8"/>
      <c r="H50" s="56">
        <f>SUM(H44:H49)</f>
        <v>168000</v>
      </c>
      <c r="I50" s="57">
        <v>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8" t="s">
        <v>38</v>
      </c>
      <c r="B51" s="59"/>
      <c r="C51" s="58" t="s">
        <v>38</v>
      </c>
      <c r="D51" s="59"/>
      <c r="E51" s="58" t="s">
        <v>38</v>
      </c>
      <c r="F51" s="59"/>
      <c r="G51" s="58" t="s">
        <v>38</v>
      </c>
      <c r="H51" s="59"/>
      <c r="I51" s="60">
        <v>1.0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4" t="s">
        <v>36</v>
      </c>
      <c r="B53" s="44" t="s">
        <v>37</v>
      </c>
      <c r="C53" s="44" t="s">
        <v>36</v>
      </c>
      <c r="D53" s="44" t="s">
        <v>37</v>
      </c>
      <c r="E53" s="44" t="s">
        <v>36</v>
      </c>
      <c r="F53" s="44" t="s">
        <v>37</v>
      </c>
      <c r="G53" s="44" t="s">
        <v>36</v>
      </c>
      <c r="H53" s="44" t="s">
        <v>37</v>
      </c>
      <c r="I53" s="4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8">
        <v>45663.0</v>
      </c>
      <c r="B54" s="61">
        <v>112000.0</v>
      </c>
      <c r="C54" s="48">
        <v>45670.0</v>
      </c>
      <c r="D54" s="61">
        <v>168000.0</v>
      </c>
      <c r="E54" s="48">
        <v>45677.0</v>
      </c>
      <c r="F54" s="61">
        <v>168000.0</v>
      </c>
      <c r="G54" s="48">
        <v>45684.0</v>
      </c>
      <c r="H54" s="61">
        <v>168000.0</v>
      </c>
      <c r="I54" s="50">
        <f>B60+D60+F60+H60</f>
        <v>616000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8">
        <v>45664.0</v>
      </c>
      <c r="B55" s="2"/>
      <c r="C55" s="48">
        <v>45671.0</v>
      </c>
      <c r="D55" s="3"/>
      <c r="E55" s="48">
        <v>45678.0</v>
      </c>
      <c r="F55" s="3"/>
      <c r="G55" s="48">
        <v>45685.0</v>
      </c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8">
        <v>45665.0</v>
      </c>
      <c r="B56" s="2"/>
      <c r="C56" s="48">
        <v>45672.0</v>
      </c>
      <c r="D56" s="3"/>
      <c r="E56" s="48">
        <v>45679.0</v>
      </c>
      <c r="F56" s="3"/>
      <c r="G56" s="48">
        <v>45686.0</v>
      </c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8">
        <v>45666.0</v>
      </c>
      <c r="B57" s="2"/>
      <c r="C57" s="48">
        <v>45673.0</v>
      </c>
      <c r="D57" s="3"/>
      <c r="E57" s="48">
        <v>45680.0</v>
      </c>
      <c r="F57" s="3"/>
      <c r="G57" s="48">
        <v>45687.0</v>
      </c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8">
        <v>45667.0</v>
      </c>
      <c r="B58" s="2"/>
      <c r="C58" s="48">
        <v>45674.0</v>
      </c>
      <c r="D58" s="3"/>
      <c r="E58" s="48">
        <v>45681.0</v>
      </c>
      <c r="F58" s="3"/>
      <c r="G58" s="48">
        <v>45688.0</v>
      </c>
      <c r="H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8">
        <v>45668.0</v>
      </c>
      <c r="B59" s="2"/>
      <c r="C59" s="48">
        <v>45675.0</v>
      </c>
      <c r="D59" s="3"/>
      <c r="E59" s="48">
        <v>45682.0</v>
      </c>
      <c r="F59" s="3"/>
      <c r="G59" s="48">
        <v>45689.0</v>
      </c>
      <c r="H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56">
        <f>SUM(B54:B59)</f>
        <v>112000</v>
      </c>
      <c r="C60" s="8"/>
      <c r="D60" s="56">
        <f>SUM(D54:D59)</f>
        <v>168000</v>
      </c>
      <c r="E60" s="8"/>
      <c r="F60" s="56">
        <f>SUM(F54:F59)</f>
        <v>168000</v>
      </c>
      <c r="G60" s="8"/>
      <c r="H60" s="56">
        <f>SUM(H54:H59)</f>
        <v>168000</v>
      </c>
      <c r="I60" s="57">
        <v>5.0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8" t="s">
        <v>38</v>
      </c>
      <c r="B61" s="59"/>
      <c r="C61" s="58" t="s">
        <v>38</v>
      </c>
      <c r="D61" s="59"/>
      <c r="E61" s="58" t="s">
        <v>38</v>
      </c>
      <c r="F61" s="59"/>
      <c r="G61" s="58" t="s">
        <v>38</v>
      </c>
      <c r="H61" s="59"/>
      <c r="I61" s="60">
        <v>1.0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4" t="s">
        <v>36</v>
      </c>
      <c r="B63" s="44" t="s">
        <v>37</v>
      </c>
      <c r="C63" s="44" t="s">
        <v>36</v>
      </c>
      <c r="D63" s="44" t="s">
        <v>37</v>
      </c>
      <c r="E63" s="44" t="s">
        <v>36</v>
      </c>
      <c r="F63" s="44" t="s">
        <v>37</v>
      </c>
      <c r="G63" s="44" t="s">
        <v>36</v>
      </c>
      <c r="H63" s="44" t="s">
        <v>37</v>
      </c>
      <c r="I63" s="4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8">
        <v>45691.0</v>
      </c>
      <c r="B64" s="61">
        <v>168000.0</v>
      </c>
      <c r="C64" s="48">
        <v>45698.0</v>
      </c>
      <c r="D64" s="61">
        <v>168000.0</v>
      </c>
      <c r="E64" s="48">
        <v>45705.0</v>
      </c>
      <c r="F64" s="61">
        <v>168000.0</v>
      </c>
      <c r="G64" s="48">
        <v>45712.0</v>
      </c>
      <c r="H64" s="61">
        <v>168000.0</v>
      </c>
      <c r="I64" s="50">
        <f>B70+D70+F70+H70</f>
        <v>672000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8">
        <v>45692.0</v>
      </c>
      <c r="B65" s="3"/>
      <c r="C65" s="48">
        <v>45699.0</v>
      </c>
      <c r="D65" s="3"/>
      <c r="E65" s="48">
        <v>45706.0</v>
      </c>
      <c r="F65" s="3"/>
      <c r="G65" s="48">
        <v>45713.0</v>
      </c>
      <c r="H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8">
        <v>45693.0</v>
      </c>
      <c r="B66" s="3"/>
      <c r="C66" s="48">
        <v>45700.0</v>
      </c>
      <c r="D66" s="3"/>
      <c r="E66" s="48">
        <v>45707.0</v>
      </c>
      <c r="F66" s="3"/>
      <c r="G66" s="48">
        <v>45714.0</v>
      </c>
      <c r="H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8">
        <v>45694.0</v>
      </c>
      <c r="B67" s="3"/>
      <c r="C67" s="48">
        <v>45701.0</v>
      </c>
      <c r="D67" s="3"/>
      <c r="E67" s="48">
        <v>45708.0</v>
      </c>
      <c r="F67" s="3"/>
      <c r="G67" s="48">
        <v>45715.0</v>
      </c>
      <c r="H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8">
        <v>45695.0</v>
      </c>
      <c r="B68" s="3"/>
      <c r="C68" s="48">
        <v>45702.0</v>
      </c>
      <c r="D68" s="3"/>
      <c r="E68" s="48">
        <v>45709.0</v>
      </c>
      <c r="F68" s="3"/>
      <c r="G68" s="48">
        <v>45716.0</v>
      </c>
      <c r="H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8">
        <v>45696.0</v>
      </c>
      <c r="B69" s="3"/>
      <c r="C69" s="48">
        <v>45703.0</v>
      </c>
      <c r="D69" s="3"/>
      <c r="E69" s="48">
        <v>45710.0</v>
      </c>
      <c r="F69" s="3"/>
      <c r="G69" s="48">
        <v>45717.0</v>
      </c>
      <c r="H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56">
        <f>SUM(B64:B69)</f>
        <v>168000</v>
      </c>
      <c r="C70" s="8"/>
      <c r="D70" s="56">
        <f>SUM(D64:D69)</f>
        <v>168000</v>
      </c>
      <c r="E70" s="8"/>
      <c r="F70" s="56">
        <f>SUM(F64:F69)</f>
        <v>168000</v>
      </c>
      <c r="G70" s="8"/>
      <c r="H70" s="56">
        <f>SUM(H64:H69)</f>
        <v>168000</v>
      </c>
      <c r="I70" s="57">
        <v>6.0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8" t="s">
        <v>38</v>
      </c>
      <c r="B71" s="59"/>
      <c r="C71" s="58" t="s">
        <v>38</v>
      </c>
      <c r="D71" s="59"/>
      <c r="E71" s="58" t="s">
        <v>38</v>
      </c>
      <c r="F71" s="59"/>
      <c r="G71" s="58" t="s">
        <v>38</v>
      </c>
      <c r="H71" s="59"/>
      <c r="I71" s="60">
        <v>1.0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4" t="s">
        <v>36</v>
      </c>
      <c r="B73" s="44" t="s">
        <v>37</v>
      </c>
      <c r="C73" s="44" t="s">
        <v>36</v>
      </c>
      <c r="D73" s="44" t="s">
        <v>37</v>
      </c>
      <c r="E73" s="44" t="s">
        <v>36</v>
      </c>
      <c r="F73" s="44" t="s">
        <v>37</v>
      </c>
      <c r="G73" s="44" t="s">
        <v>36</v>
      </c>
      <c r="H73" s="44" t="s">
        <v>37</v>
      </c>
      <c r="I73" s="4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8">
        <v>45719.0</v>
      </c>
      <c r="B74" s="61">
        <v>168000.0</v>
      </c>
      <c r="C74" s="48">
        <v>45726.0</v>
      </c>
      <c r="D74" s="61">
        <v>168000.0</v>
      </c>
      <c r="E74" s="48">
        <v>45733.0</v>
      </c>
      <c r="F74" s="61">
        <v>168000.0</v>
      </c>
      <c r="G74" s="48">
        <v>45740.0</v>
      </c>
      <c r="H74" s="61">
        <v>168000.0</v>
      </c>
      <c r="I74" s="50">
        <f>B80+D80+F80+H80</f>
        <v>672000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8">
        <v>45720.0</v>
      </c>
      <c r="B75" s="3"/>
      <c r="C75" s="48">
        <v>45727.0</v>
      </c>
      <c r="D75" s="3"/>
      <c r="E75" s="48">
        <v>45734.0</v>
      </c>
      <c r="F75" s="3"/>
      <c r="G75" s="48">
        <v>45741.0</v>
      </c>
      <c r="H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8">
        <v>45721.0</v>
      </c>
      <c r="B76" s="3"/>
      <c r="C76" s="48">
        <v>45728.0</v>
      </c>
      <c r="D76" s="3"/>
      <c r="E76" s="48">
        <v>45735.0</v>
      </c>
      <c r="F76" s="3"/>
      <c r="G76" s="48">
        <v>45742.0</v>
      </c>
      <c r="H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8">
        <v>45722.0</v>
      </c>
      <c r="B77" s="3"/>
      <c r="C77" s="48">
        <v>45729.0</v>
      </c>
      <c r="D77" s="3"/>
      <c r="E77" s="48">
        <v>45736.0</v>
      </c>
      <c r="F77" s="3"/>
      <c r="G77" s="48">
        <v>45743.0</v>
      </c>
      <c r="H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8">
        <v>45723.0</v>
      </c>
      <c r="B78" s="3"/>
      <c r="C78" s="48">
        <v>45730.0</v>
      </c>
      <c r="D78" s="3"/>
      <c r="E78" s="48">
        <v>45737.0</v>
      </c>
      <c r="F78" s="3"/>
      <c r="G78" s="48">
        <v>45744.0</v>
      </c>
      <c r="H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8">
        <v>45724.0</v>
      </c>
      <c r="B79" s="3"/>
      <c r="C79" s="48">
        <v>45731.0</v>
      </c>
      <c r="D79" s="3"/>
      <c r="E79" s="48">
        <v>45738.0</v>
      </c>
      <c r="F79" s="3"/>
      <c r="G79" s="48">
        <v>45745.0</v>
      </c>
      <c r="H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56">
        <f>SUM(B74:B79)</f>
        <v>168000</v>
      </c>
      <c r="C80" s="8"/>
      <c r="D80" s="56">
        <f>SUM(D74:D79)</f>
        <v>168000</v>
      </c>
      <c r="E80" s="8"/>
      <c r="F80" s="56">
        <f>SUM(F74:F79)</f>
        <v>168000</v>
      </c>
      <c r="G80" s="8"/>
      <c r="H80" s="56">
        <f>SUM(H74:H79)</f>
        <v>168000</v>
      </c>
      <c r="I80" s="57">
        <v>7.0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8" t="s">
        <v>38</v>
      </c>
      <c r="B81" s="59"/>
      <c r="C81" s="58" t="s">
        <v>38</v>
      </c>
      <c r="D81" s="59"/>
      <c r="E81" s="58" t="s">
        <v>38</v>
      </c>
      <c r="F81" s="59"/>
      <c r="G81" s="58" t="s">
        <v>38</v>
      </c>
      <c r="H81" s="59"/>
      <c r="I81" s="60">
        <v>1.0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4" t="s">
        <v>36</v>
      </c>
      <c r="B83" s="44" t="s">
        <v>37</v>
      </c>
      <c r="C83" s="44" t="s">
        <v>36</v>
      </c>
      <c r="D83" s="44" t="s">
        <v>37</v>
      </c>
      <c r="E83" s="44" t="s">
        <v>36</v>
      </c>
      <c r="F83" s="44" t="s">
        <v>37</v>
      </c>
      <c r="G83" s="44" t="s">
        <v>36</v>
      </c>
      <c r="H83" s="44" t="s">
        <v>37</v>
      </c>
      <c r="I83" s="4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8">
        <v>45747.0</v>
      </c>
      <c r="B84" s="61">
        <v>168000.0</v>
      </c>
      <c r="C84" s="48">
        <v>45754.0</v>
      </c>
      <c r="D84" s="61">
        <v>168000.0</v>
      </c>
      <c r="E84" s="48">
        <v>45761.0</v>
      </c>
      <c r="F84" s="61">
        <v>168000.0</v>
      </c>
      <c r="G84" s="48">
        <v>45768.0</v>
      </c>
      <c r="H84" s="61">
        <v>168000.0</v>
      </c>
      <c r="I84" s="50">
        <f>B90+D90+F90+H90</f>
        <v>672000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8">
        <v>45748.0</v>
      </c>
      <c r="B85" s="3"/>
      <c r="C85" s="48">
        <v>45755.0</v>
      </c>
      <c r="D85" s="49"/>
      <c r="E85" s="48">
        <v>45762.0</v>
      </c>
      <c r="F85" s="3"/>
      <c r="G85" s="48">
        <v>45769.0</v>
      </c>
      <c r="H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8">
        <v>45749.0</v>
      </c>
      <c r="B86" s="3"/>
      <c r="C86" s="48">
        <v>45756.0</v>
      </c>
      <c r="D86" s="3"/>
      <c r="E86" s="48">
        <v>45763.0</v>
      </c>
      <c r="F86" s="3"/>
      <c r="G86" s="48">
        <v>45770.0</v>
      </c>
      <c r="H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8">
        <v>45750.0</v>
      </c>
      <c r="B87" s="3"/>
      <c r="C87" s="48">
        <v>45757.0</v>
      </c>
      <c r="D87" s="65"/>
      <c r="E87" s="48">
        <v>45764.0</v>
      </c>
      <c r="F87" s="65"/>
      <c r="G87" s="48">
        <v>45771.0</v>
      </c>
      <c r="H87" s="6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8">
        <v>45751.0</v>
      </c>
      <c r="B88" s="3"/>
      <c r="C88" s="48">
        <v>45758.0</v>
      </c>
      <c r="D88" s="3"/>
      <c r="E88" s="48">
        <v>45765.0</v>
      </c>
      <c r="F88" s="3"/>
      <c r="G88" s="48">
        <v>45772.0</v>
      </c>
      <c r="H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8">
        <v>45752.0</v>
      </c>
      <c r="B89" s="3"/>
      <c r="C89" s="48">
        <v>45759.0</v>
      </c>
      <c r="D89" s="3"/>
      <c r="E89" s="48">
        <v>45766.0</v>
      </c>
      <c r="F89" s="3"/>
      <c r="G89" s="48">
        <v>45773.0</v>
      </c>
      <c r="H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56">
        <f>SUM(B84:B89)</f>
        <v>168000</v>
      </c>
      <c r="C90" s="8"/>
      <c r="D90" s="56">
        <f>SUM(D84:D89)</f>
        <v>168000</v>
      </c>
      <c r="E90" s="8"/>
      <c r="F90" s="56">
        <f>SUM(F84:F89)</f>
        <v>168000</v>
      </c>
      <c r="G90" s="8"/>
      <c r="H90" s="56">
        <f>SUM(H84:H89)</f>
        <v>168000</v>
      </c>
      <c r="I90" s="57">
        <v>8.0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8" t="s">
        <v>38</v>
      </c>
      <c r="B91" s="59"/>
      <c r="C91" s="58" t="s">
        <v>38</v>
      </c>
      <c r="D91" s="59"/>
      <c r="E91" s="58" t="s">
        <v>38</v>
      </c>
      <c r="F91" s="59"/>
      <c r="G91" s="58" t="s">
        <v>38</v>
      </c>
      <c r="H91" s="59"/>
      <c r="I91" s="60">
        <v>1.0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4" t="s">
        <v>36</v>
      </c>
      <c r="B93" s="44" t="s">
        <v>37</v>
      </c>
      <c r="C93" s="44" t="s">
        <v>36</v>
      </c>
      <c r="D93" s="44" t="s">
        <v>37</v>
      </c>
      <c r="E93" s="44" t="s">
        <v>36</v>
      </c>
      <c r="F93" s="44" t="s">
        <v>37</v>
      </c>
      <c r="G93" s="44" t="s">
        <v>36</v>
      </c>
      <c r="H93" s="44" t="s">
        <v>37</v>
      </c>
      <c r="I93" s="4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8">
        <v>45775.0</v>
      </c>
      <c r="B94" s="66"/>
      <c r="C94" s="48">
        <v>45782.0</v>
      </c>
      <c r="D94" s="66"/>
      <c r="E94" s="48">
        <v>45789.0</v>
      </c>
      <c r="F94" s="66"/>
      <c r="G94" s="48">
        <v>45796.0</v>
      </c>
      <c r="H94" s="66"/>
      <c r="I94" s="67">
        <f>B100+D100+F100+H100</f>
        <v>672000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8">
        <v>45776.0</v>
      </c>
      <c r="B95" s="3"/>
      <c r="C95" s="48">
        <v>45783.0</v>
      </c>
      <c r="D95" s="49"/>
      <c r="E95" s="48">
        <v>45790.0</v>
      </c>
      <c r="F95" s="3"/>
      <c r="G95" s="48">
        <v>45797.0</v>
      </c>
      <c r="H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8">
        <v>45777.0</v>
      </c>
      <c r="B96" s="61">
        <v>168000.0</v>
      </c>
      <c r="C96" s="48">
        <v>45784.0</v>
      </c>
      <c r="D96" s="61">
        <v>168000.0</v>
      </c>
      <c r="E96" s="48">
        <v>45791.0</v>
      </c>
      <c r="F96" s="61">
        <v>168000.0</v>
      </c>
      <c r="G96" s="48">
        <v>45798.0</v>
      </c>
      <c r="H96" s="61">
        <v>168000.0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8">
        <v>45778.0</v>
      </c>
      <c r="B97" s="3"/>
      <c r="C97" s="48">
        <v>45785.0</v>
      </c>
      <c r="D97" s="66"/>
      <c r="E97" s="48">
        <v>45792.0</v>
      </c>
      <c r="F97" s="66"/>
      <c r="G97" s="48">
        <v>45799.0</v>
      </c>
      <c r="H97" s="6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8">
        <v>45779.0</v>
      </c>
      <c r="B98" s="3"/>
      <c r="C98" s="48">
        <v>45786.0</v>
      </c>
      <c r="D98" s="3"/>
      <c r="E98" s="48">
        <v>45793.0</v>
      </c>
      <c r="F98" s="3"/>
      <c r="G98" s="48">
        <v>45800.0</v>
      </c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8">
        <v>45780.0</v>
      </c>
      <c r="B99" s="68"/>
      <c r="C99" s="48">
        <v>45787.0</v>
      </c>
      <c r="D99" s="68"/>
      <c r="E99" s="48">
        <v>45794.0</v>
      </c>
      <c r="F99" s="68"/>
      <c r="G99" s="48">
        <v>45801.0</v>
      </c>
      <c r="H99" s="6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69">
        <f>B96</f>
        <v>168000</v>
      </c>
      <c r="C100" s="8"/>
      <c r="D100" s="69">
        <f>D96</f>
        <v>168000</v>
      </c>
      <c r="E100" s="70"/>
      <c r="F100" s="69">
        <f>F96</f>
        <v>168000</v>
      </c>
      <c r="G100" s="70"/>
      <c r="H100" s="69">
        <f>H96</f>
        <v>168000</v>
      </c>
      <c r="I100" s="71">
        <v>9.0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8"/>
      <c r="C101" s="8"/>
      <c r="D101" s="8"/>
      <c r="E101" s="8"/>
      <c r="F101" s="8"/>
      <c r="G101" s="8"/>
      <c r="H101" s="8"/>
      <c r="I101" s="72">
        <v>1.0</v>
      </c>
      <c r="J101" s="7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4" t="s">
        <v>36</v>
      </c>
      <c r="B102" s="44" t="s">
        <v>37</v>
      </c>
      <c r="C102" s="44" t="s">
        <v>36</v>
      </c>
      <c r="D102" s="44" t="s">
        <v>37</v>
      </c>
      <c r="E102" s="44" t="s">
        <v>36</v>
      </c>
      <c r="F102" s="44" t="s">
        <v>37</v>
      </c>
      <c r="G102" s="44" t="s">
        <v>36</v>
      </c>
      <c r="H102" s="44" t="s">
        <v>37</v>
      </c>
      <c r="I102" s="45"/>
      <c r="J102" s="7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8">
        <v>45803.0</v>
      </c>
      <c r="B103" s="61">
        <v>168000.0</v>
      </c>
      <c r="C103" s="48">
        <v>45810.0</v>
      </c>
      <c r="D103" s="61">
        <v>168000.0</v>
      </c>
      <c r="E103" s="48">
        <v>45817.0</v>
      </c>
      <c r="F103" s="61">
        <v>168000.0</v>
      </c>
      <c r="G103" s="48">
        <v>45824.0</v>
      </c>
      <c r="H103" s="61">
        <v>168000.0</v>
      </c>
      <c r="I103" s="67">
        <f>B109+D109+F109+H109</f>
        <v>672000</v>
      </c>
      <c r="J103" s="7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8">
        <v>45804.0</v>
      </c>
      <c r="B104" s="3"/>
      <c r="C104" s="48">
        <v>45811.0</v>
      </c>
      <c r="D104" s="49"/>
      <c r="E104" s="48">
        <v>45818.0</v>
      </c>
      <c r="F104" s="3"/>
      <c r="G104" s="48">
        <v>45825.0</v>
      </c>
      <c r="H104" s="3"/>
      <c r="J104" s="7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8">
        <v>45805.0</v>
      </c>
      <c r="B105" s="3"/>
      <c r="C105" s="48">
        <v>45812.0</v>
      </c>
      <c r="D105" s="3"/>
      <c r="E105" s="48">
        <v>45819.0</v>
      </c>
      <c r="F105" s="3"/>
      <c r="G105" s="48">
        <v>45826.0</v>
      </c>
      <c r="H105" s="3"/>
      <c r="J105" s="7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8">
        <v>45806.0</v>
      </c>
      <c r="B106" s="3"/>
      <c r="C106" s="48">
        <v>45813.0</v>
      </c>
      <c r="D106" s="65"/>
      <c r="E106" s="48">
        <v>45820.0</v>
      </c>
      <c r="F106" s="65"/>
      <c r="G106" s="48">
        <v>45827.0</v>
      </c>
      <c r="H106" s="65"/>
      <c r="J106" s="7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8">
        <v>45807.0</v>
      </c>
      <c r="B107" s="3"/>
      <c r="C107" s="48">
        <v>45814.0</v>
      </c>
      <c r="D107" s="3"/>
      <c r="E107" s="48">
        <v>45821.0</v>
      </c>
      <c r="F107" s="3"/>
      <c r="G107" s="48">
        <v>45828.0</v>
      </c>
      <c r="H107" s="3"/>
      <c r="J107" s="7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8">
        <v>45808.0</v>
      </c>
      <c r="B108" s="3"/>
      <c r="C108" s="48">
        <v>45815.0</v>
      </c>
      <c r="D108" s="3"/>
      <c r="E108" s="48">
        <v>45822.0</v>
      </c>
      <c r="F108" s="3"/>
      <c r="G108" s="48">
        <v>45829.0</v>
      </c>
      <c r="H108" s="3"/>
      <c r="J108" s="7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74">
        <v>168000.0</v>
      </c>
      <c r="C109" s="75"/>
      <c r="D109" s="74">
        <v>168000.0</v>
      </c>
      <c r="E109" s="8"/>
      <c r="F109" s="76">
        <f>SUM(F103:F108)</f>
        <v>168000</v>
      </c>
      <c r="G109" s="8"/>
      <c r="H109" s="76">
        <f>H103</f>
        <v>168000</v>
      </c>
      <c r="I109" s="71">
        <v>10.0</v>
      </c>
      <c r="J109" s="7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8" t="s">
        <v>38</v>
      </c>
      <c r="B110" s="59"/>
      <c r="C110" s="58" t="s">
        <v>38</v>
      </c>
      <c r="D110" s="59"/>
      <c r="E110" s="58" t="s">
        <v>38</v>
      </c>
      <c r="F110" s="59"/>
      <c r="G110" s="58" t="s">
        <v>38</v>
      </c>
      <c r="H110" s="59"/>
      <c r="I110" s="60">
        <v>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8"/>
      <c r="C111" s="8"/>
      <c r="D111" s="8"/>
      <c r="E111" s="8"/>
      <c r="F111" s="8"/>
      <c r="G111" s="8"/>
      <c r="H111" s="8"/>
      <c r="I111" s="72">
        <v>1.0</v>
      </c>
      <c r="J111" s="7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4" t="s">
        <v>36</v>
      </c>
      <c r="B112" s="44" t="s">
        <v>37</v>
      </c>
      <c r="C112" s="44" t="s">
        <v>36</v>
      </c>
      <c r="D112" s="44" t="s">
        <v>37</v>
      </c>
      <c r="E112" s="44" t="s">
        <v>36</v>
      </c>
      <c r="F112" s="44" t="s">
        <v>37</v>
      </c>
      <c r="G112" s="44" t="s">
        <v>36</v>
      </c>
      <c r="H112" s="44" t="s">
        <v>37</v>
      </c>
      <c r="I112" s="4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8">
        <v>45831.0</v>
      </c>
      <c r="B113" s="61">
        <v>168000.0</v>
      </c>
      <c r="C113" s="48">
        <v>45838.0</v>
      </c>
      <c r="D113" s="61">
        <v>168000.0</v>
      </c>
      <c r="E113" s="48">
        <v>45845.0</v>
      </c>
      <c r="F113" s="61">
        <v>168000.0</v>
      </c>
      <c r="G113" s="48">
        <v>45852.0</v>
      </c>
      <c r="H113" s="61">
        <v>168000.0</v>
      </c>
      <c r="I113" s="67">
        <f>B119+D119+F119+H119</f>
        <v>672000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8">
        <v>45832.0</v>
      </c>
      <c r="B114" s="3"/>
      <c r="C114" s="48">
        <v>45839.0</v>
      </c>
      <c r="D114" s="49"/>
      <c r="E114" s="48">
        <v>45846.0</v>
      </c>
      <c r="F114" s="3"/>
      <c r="G114" s="48">
        <v>45853.0</v>
      </c>
      <c r="H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8">
        <v>45833.0</v>
      </c>
      <c r="B115" s="3"/>
      <c r="C115" s="48">
        <v>45840.0</v>
      </c>
      <c r="D115" s="3"/>
      <c r="E115" s="48">
        <v>45847.0</v>
      </c>
      <c r="F115" s="3"/>
      <c r="G115" s="48">
        <v>45854.0</v>
      </c>
      <c r="H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8">
        <v>45834.0</v>
      </c>
      <c r="B116" s="3"/>
      <c r="C116" s="48">
        <v>45841.0</v>
      </c>
      <c r="D116" s="65"/>
      <c r="E116" s="48">
        <v>45848.0</v>
      </c>
      <c r="F116" s="65"/>
      <c r="G116" s="48">
        <v>45855.0</v>
      </c>
      <c r="H116" s="6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8">
        <v>45835.0</v>
      </c>
      <c r="B117" s="3"/>
      <c r="C117" s="48">
        <v>45842.0</v>
      </c>
      <c r="D117" s="3"/>
      <c r="E117" s="48">
        <v>45849.0</v>
      </c>
      <c r="F117" s="3"/>
      <c r="G117" s="48">
        <v>45856.0</v>
      </c>
      <c r="H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8">
        <v>45836.0</v>
      </c>
      <c r="B118" s="3"/>
      <c r="C118" s="48">
        <v>45843.0</v>
      </c>
      <c r="D118" s="3"/>
      <c r="E118" s="48">
        <v>45850.0</v>
      </c>
      <c r="F118" s="3"/>
      <c r="G118" s="48">
        <v>45857.0</v>
      </c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74">
        <f>SUM(B113:B118)</f>
        <v>168000</v>
      </c>
      <c r="C119" s="75"/>
      <c r="D119" s="76">
        <f>SUM(D113:D118)</f>
        <v>168000</v>
      </c>
      <c r="E119" s="8"/>
      <c r="F119" s="76">
        <f>SUM(F113:F118)</f>
        <v>168000</v>
      </c>
      <c r="G119" s="8"/>
      <c r="H119" s="76">
        <f>SUM(H113:H118)</f>
        <v>168000</v>
      </c>
      <c r="I119" s="71">
        <v>11.0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8" t="s">
        <v>38</v>
      </c>
      <c r="B120" s="59"/>
      <c r="C120" s="58" t="s">
        <v>38</v>
      </c>
      <c r="D120" s="59"/>
      <c r="E120" s="58" t="s">
        <v>38</v>
      </c>
      <c r="F120" s="59"/>
      <c r="G120" s="58" t="s">
        <v>38</v>
      </c>
      <c r="H120" s="59"/>
      <c r="I120" s="60">
        <v>1.0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4" t="s">
        <v>36</v>
      </c>
      <c r="B121" s="44" t="s">
        <v>37</v>
      </c>
      <c r="C121" s="44" t="s">
        <v>36</v>
      </c>
      <c r="D121" s="44" t="s">
        <v>37</v>
      </c>
      <c r="E121" s="44" t="s">
        <v>36</v>
      </c>
      <c r="F121" s="44" t="s">
        <v>37</v>
      </c>
      <c r="G121" s="44" t="s">
        <v>36</v>
      </c>
      <c r="H121" s="44" t="s">
        <v>37</v>
      </c>
      <c r="I121" s="4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8">
        <v>45859.0</v>
      </c>
      <c r="B122" s="61">
        <v>168000.0</v>
      </c>
      <c r="C122" s="48">
        <v>45866.0</v>
      </c>
      <c r="D122" s="61">
        <v>168000.0</v>
      </c>
      <c r="E122" s="48">
        <v>45873.0</v>
      </c>
      <c r="F122" s="61">
        <v>168000.0</v>
      </c>
      <c r="G122" s="48">
        <v>45880.0</v>
      </c>
      <c r="H122" s="61">
        <v>168000.0</v>
      </c>
      <c r="I122" s="67">
        <f>B128+D128+F128+H128</f>
        <v>672000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8">
        <v>45860.0</v>
      </c>
      <c r="B123" s="3"/>
      <c r="C123" s="48">
        <v>45867.0</v>
      </c>
      <c r="D123" s="49"/>
      <c r="E123" s="48">
        <v>45874.0</v>
      </c>
      <c r="F123" s="3"/>
      <c r="G123" s="48">
        <v>45881.0</v>
      </c>
      <c r="H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8">
        <v>45861.0</v>
      </c>
      <c r="B124" s="3"/>
      <c r="C124" s="48">
        <v>45868.0</v>
      </c>
      <c r="D124" s="3"/>
      <c r="E124" s="48">
        <v>45875.0</v>
      </c>
      <c r="F124" s="3"/>
      <c r="G124" s="48">
        <v>45882.0</v>
      </c>
      <c r="H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8">
        <v>45862.0</v>
      </c>
      <c r="B125" s="3"/>
      <c r="C125" s="48">
        <v>45869.0</v>
      </c>
      <c r="D125" s="65"/>
      <c r="E125" s="48">
        <v>45876.0</v>
      </c>
      <c r="F125" s="65"/>
      <c r="G125" s="48">
        <v>45883.0</v>
      </c>
      <c r="H125" s="6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8">
        <v>45863.0</v>
      </c>
      <c r="B126" s="3"/>
      <c r="C126" s="48">
        <v>45870.0</v>
      </c>
      <c r="D126" s="3"/>
      <c r="E126" s="48">
        <v>45877.0</v>
      </c>
      <c r="F126" s="3"/>
      <c r="G126" s="48">
        <v>45884.0</v>
      </c>
      <c r="H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8">
        <v>45864.0</v>
      </c>
      <c r="B127" s="3"/>
      <c r="C127" s="48">
        <v>45871.0</v>
      </c>
      <c r="D127" s="3"/>
      <c r="E127" s="48">
        <v>45878.0</v>
      </c>
      <c r="F127" s="3"/>
      <c r="G127" s="48">
        <v>45885.0</v>
      </c>
      <c r="H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74">
        <f>SUM(B122:B127)</f>
        <v>168000</v>
      </c>
      <c r="C128" s="75"/>
      <c r="D128" s="76">
        <f>SUM(D122:D127)</f>
        <v>168000</v>
      </c>
      <c r="E128" s="8"/>
      <c r="F128" s="76">
        <f>SUM(F122:F127)</f>
        <v>168000</v>
      </c>
      <c r="G128" s="8"/>
      <c r="H128" s="76">
        <f>SUM(H122:H127)</f>
        <v>168000</v>
      </c>
      <c r="I128" s="71">
        <v>12.0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8" t="s">
        <v>38</v>
      </c>
      <c r="B129" s="59"/>
      <c r="C129" s="58" t="s">
        <v>38</v>
      </c>
      <c r="D129" s="59"/>
      <c r="E129" s="58" t="s">
        <v>38</v>
      </c>
      <c r="F129" s="59"/>
      <c r="G129" s="58" t="s">
        <v>38</v>
      </c>
      <c r="H129" s="59"/>
      <c r="I129" s="60">
        <v>1.0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4" t="s">
        <v>36</v>
      </c>
      <c r="B130" s="44" t="s">
        <v>37</v>
      </c>
      <c r="C130" s="44" t="s">
        <v>36</v>
      </c>
      <c r="D130" s="44" t="s">
        <v>37</v>
      </c>
      <c r="E130" s="44" t="s">
        <v>36</v>
      </c>
      <c r="F130" s="44" t="s">
        <v>37</v>
      </c>
      <c r="G130" s="44" t="s">
        <v>36</v>
      </c>
      <c r="H130" s="44" t="s">
        <v>37</v>
      </c>
      <c r="I130" s="4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8">
        <v>45887.0</v>
      </c>
      <c r="B131" s="61">
        <v>168000.0</v>
      </c>
      <c r="C131" s="48">
        <v>45894.0</v>
      </c>
      <c r="D131" s="77">
        <v>168000.0</v>
      </c>
      <c r="E131" s="78">
        <v>45901.0</v>
      </c>
      <c r="F131" s="77">
        <v>168000.0</v>
      </c>
      <c r="G131" s="79">
        <v>45908.0</v>
      </c>
      <c r="H131" s="77">
        <v>168000.0</v>
      </c>
      <c r="I131" s="67">
        <f>B137+D137+F137+H137</f>
        <v>672000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8">
        <v>45888.0</v>
      </c>
      <c r="B132" s="3"/>
      <c r="C132" s="48">
        <v>45895.0</v>
      </c>
      <c r="D132" s="49"/>
      <c r="E132" s="78">
        <v>45902.0</v>
      </c>
      <c r="F132" s="49"/>
      <c r="G132" s="79">
        <v>45909.0</v>
      </c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8">
        <v>45889.0</v>
      </c>
      <c r="B133" s="3"/>
      <c r="C133" s="48">
        <v>45896.0</v>
      </c>
      <c r="D133" s="49"/>
      <c r="E133" s="78">
        <v>45903.0</v>
      </c>
      <c r="F133" s="49"/>
      <c r="G133" s="79">
        <v>45910.0</v>
      </c>
      <c r="H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8">
        <v>45890.0</v>
      </c>
      <c r="B134" s="3"/>
      <c r="C134" s="48">
        <v>45897.0</v>
      </c>
      <c r="D134" s="49"/>
      <c r="E134" s="78">
        <v>45904.0</v>
      </c>
      <c r="F134" s="49"/>
      <c r="G134" s="79">
        <v>45911.0</v>
      </c>
      <c r="H134" s="6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8">
        <v>45891.0</v>
      </c>
      <c r="B135" s="3"/>
      <c r="C135" s="48">
        <v>45898.0</v>
      </c>
      <c r="D135" s="49"/>
      <c r="E135" s="78">
        <v>45905.0</v>
      </c>
      <c r="F135" s="49"/>
      <c r="G135" s="79">
        <v>45912.0</v>
      </c>
      <c r="H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8">
        <v>45892.0</v>
      </c>
      <c r="B136" s="3"/>
      <c r="C136" s="48">
        <v>45899.0</v>
      </c>
      <c r="D136" s="49"/>
      <c r="E136" s="78">
        <v>45906.0</v>
      </c>
      <c r="F136" s="49"/>
      <c r="G136" s="79">
        <v>45913.0</v>
      </c>
      <c r="H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74">
        <f>SUM(B131:B136)</f>
        <v>168000</v>
      </c>
      <c r="C137" s="75"/>
      <c r="D137" s="76">
        <f>SUM(D131:D136)</f>
        <v>168000</v>
      </c>
      <c r="E137" s="8"/>
      <c r="F137" s="76">
        <f>SUM(F131:F136)</f>
        <v>168000</v>
      </c>
      <c r="G137" s="8"/>
      <c r="H137" s="76">
        <f>SUM(H131:H136)</f>
        <v>168000</v>
      </c>
      <c r="I137" s="71">
        <v>13.0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8" t="s">
        <v>38</v>
      </c>
      <c r="B138" s="59"/>
      <c r="C138" s="58" t="s">
        <v>38</v>
      </c>
      <c r="D138" s="59"/>
      <c r="E138" s="58" t="s">
        <v>38</v>
      </c>
      <c r="F138" s="59"/>
      <c r="G138" s="58" t="s">
        <v>38</v>
      </c>
      <c r="H138" s="59"/>
      <c r="I138" s="60">
        <v>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4" t="s">
        <v>36</v>
      </c>
      <c r="B139" s="44" t="s">
        <v>37</v>
      </c>
      <c r="C139" s="44" t="s">
        <v>36</v>
      </c>
      <c r="D139" s="44" t="s">
        <v>37</v>
      </c>
      <c r="E139" s="44" t="s">
        <v>36</v>
      </c>
      <c r="F139" s="44" t="s">
        <v>37</v>
      </c>
      <c r="G139" s="44" t="s">
        <v>36</v>
      </c>
      <c r="H139" s="44" t="s">
        <v>37</v>
      </c>
      <c r="I139" s="4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8">
        <v>45915.0</v>
      </c>
      <c r="B140" s="65"/>
      <c r="C140" s="78">
        <v>45922.0</v>
      </c>
      <c r="D140" s="65"/>
      <c r="E140" s="78">
        <v>45929.0</v>
      </c>
      <c r="F140" s="65"/>
      <c r="G140" s="78">
        <v>45936.0</v>
      </c>
      <c r="H140" s="80"/>
      <c r="I140" s="67">
        <f>B146+D146+F146+H146</f>
        <v>504000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8">
        <v>45916.0</v>
      </c>
      <c r="B141" s="77">
        <v>168000.0</v>
      </c>
      <c r="C141" s="78">
        <v>45923.0</v>
      </c>
      <c r="D141" s="77">
        <v>168000.0</v>
      </c>
      <c r="E141" s="78">
        <v>45930.0</v>
      </c>
      <c r="F141" s="77">
        <v>168000.0</v>
      </c>
      <c r="G141" s="78">
        <v>45937.0</v>
      </c>
      <c r="H141" s="8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8">
        <v>45917.0</v>
      </c>
      <c r="B142" s="3"/>
      <c r="C142" s="78">
        <v>45924.0</v>
      </c>
      <c r="D142" s="3"/>
      <c r="E142" s="78">
        <v>45931.0</v>
      </c>
      <c r="F142" s="3"/>
      <c r="G142" s="78">
        <v>45938.0</v>
      </c>
      <c r="H142" s="8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8">
        <v>45918.0</v>
      </c>
      <c r="B143" s="3"/>
      <c r="C143" s="78">
        <v>45925.0</v>
      </c>
      <c r="D143" s="65"/>
      <c r="E143" s="78">
        <v>45932.0</v>
      </c>
      <c r="F143" s="65"/>
      <c r="G143" s="78">
        <v>45939.0</v>
      </c>
      <c r="H143" s="8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8">
        <v>45919.0</v>
      </c>
      <c r="B144" s="3"/>
      <c r="C144" s="78">
        <v>45926.0</v>
      </c>
      <c r="D144" s="3"/>
      <c r="E144" s="78">
        <v>45933.0</v>
      </c>
      <c r="F144" s="3"/>
      <c r="G144" s="78">
        <v>45940.0</v>
      </c>
      <c r="H144" s="8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8">
        <v>45920.0</v>
      </c>
      <c r="B145" s="3"/>
      <c r="C145" s="78">
        <v>45927.0</v>
      </c>
      <c r="D145" s="3"/>
      <c r="E145" s="78">
        <v>45934.0</v>
      </c>
      <c r="F145" s="3"/>
      <c r="G145" s="78">
        <v>45941.0</v>
      </c>
      <c r="H145" s="8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74">
        <f>SUM(B140:B145)</f>
        <v>168000</v>
      </c>
      <c r="C146" s="75"/>
      <c r="D146" s="76">
        <f>SUM(D140:D145)</f>
        <v>168000</v>
      </c>
      <c r="E146" s="8"/>
      <c r="F146" s="76">
        <f>SUM(F140:F145)</f>
        <v>168000</v>
      </c>
      <c r="G146" s="8"/>
      <c r="H146" s="76">
        <f>SUM(H140:H145)</f>
        <v>0</v>
      </c>
      <c r="I146" s="71">
        <v>14.0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8" t="s">
        <v>38</v>
      </c>
      <c r="B147" s="59"/>
      <c r="C147" s="58" t="s">
        <v>38</v>
      </c>
      <c r="D147" s="59"/>
      <c r="E147" s="58" t="s">
        <v>38</v>
      </c>
      <c r="F147" s="59"/>
      <c r="G147" s="58" t="s">
        <v>38</v>
      </c>
      <c r="H147" s="59"/>
      <c r="I147" s="60">
        <v>1.0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4" t="s">
        <v>36</v>
      </c>
      <c r="B148" s="44" t="s">
        <v>37</v>
      </c>
      <c r="C148" s="44" t="s">
        <v>36</v>
      </c>
      <c r="D148" s="44" t="s">
        <v>37</v>
      </c>
      <c r="E148" s="44" t="s">
        <v>36</v>
      </c>
      <c r="F148" s="44" t="s">
        <v>37</v>
      </c>
      <c r="G148" s="44" t="s">
        <v>36</v>
      </c>
      <c r="H148" s="44" t="s">
        <v>37</v>
      </c>
      <c r="I148" s="4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8">
        <v>45943.0</v>
      </c>
      <c r="B149" s="65"/>
      <c r="C149" s="78">
        <v>45950.0</v>
      </c>
      <c r="D149" s="65"/>
      <c r="E149" s="78">
        <v>45957.0</v>
      </c>
      <c r="F149" s="65"/>
      <c r="G149" s="78">
        <v>45964.0</v>
      </c>
      <c r="H149" s="66"/>
      <c r="I149" s="67">
        <f>B155+D155+F155+H155</f>
        <v>672000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8">
        <v>45944.0</v>
      </c>
      <c r="B150" s="77">
        <v>168000.0</v>
      </c>
      <c r="C150" s="78">
        <v>45951.0</v>
      </c>
      <c r="D150" s="77">
        <v>168000.0</v>
      </c>
      <c r="E150" s="78">
        <v>45958.0</v>
      </c>
      <c r="F150" s="77">
        <v>168000.0</v>
      </c>
      <c r="G150" s="78">
        <v>45965.0</v>
      </c>
      <c r="H150" s="82">
        <v>168000.0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8">
        <v>45945.0</v>
      </c>
      <c r="B151" s="3"/>
      <c r="C151" s="78">
        <v>45952.0</v>
      </c>
      <c r="D151" s="3"/>
      <c r="E151" s="78">
        <v>45959.0</v>
      </c>
      <c r="F151" s="3"/>
      <c r="G151" s="78">
        <v>45966.0</v>
      </c>
      <c r="H151" s="7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8">
        <v>45946.0</v>
      </c>
      <c r="B152" s="3"/>
      <c r="C152" s="78">
        <v>45953.0</v>
      </c>
      <c r="D152" s="65"/>
      <c r="E152" s="78">
        <v>45960.0</v>
      </c>
      <c r="F152" s="65"/>
      <c r="G152" s="78">
        <v>45967.0</v>
      </c>
      <c r="H152" s="6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8">
        <v>45947.0</v>
      </c>
      <c r="B153" s="3"/>
      <c r="C153" s="78">
        <v>45954.0</v>
      </c>
      <c r="D153" s="3"/>
      <c r="E153" s="78">
        <v>45961.0</v>
      </c>
      <c r="F153" s="3"/>
      <c r="G153" s="78">
        <v>45968.0</v>
      </c>
      <c r="H153" s="7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8">
        <v>45948.0</v>
      </c>
      <c r="B154" s="3"/>
      <c r="C154" s="78">
        <v>45955.0</v>
      </c>
      <c r="D154" s="3"/>
      <c r="E154" s="78">
        <v>45962.0</v>
      </c>
      <c r="F154" s="3"/>
      <c r="G154" s="78">
        <v>45969.0</v>
      </c>
      <c r="H154" s="7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74">
        <f>SUM(B149:B154)</f>
        <v>168000</v>
      </c>
      <c r="C155" s="75"/>
      <c r="D155" s="76">
        <f>SUM(D149:D154)</f>
        <v>168000</v>
      </c>
      <c r="E155" s="8"/>
      <c r="F155" s="76">
        <f>SUM(F149:F154)</f>
        <v>168000</v>
      </c>
      <c r="G155" s="8"/>
      <c r="H155" s="76">
        <f>SUM(H149:H154)</f>
        <v>168000</v>
      </c>
      <c r="I155" s="71">
        <v>15.0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8" t="s">
        <v>38</v>
      </c>
      <c r="B156" s="59"/>
      <c r="C156" s="58" t="s">
        <v>38</v>
      </c>
      <c r="D156" s="59"/>
      <c r="E156" s="58" t="s">
        <v>38</v>
      </c>
      <c r="F156" s="59"/>
      <c r="G156" s="58" t="s">
        <v>38</v>
      </c>
      <c r="H156" s="59"/>
      <c r="I156" s="60">
        <v>1.0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4" t="s">
        <v>36</v>
      </c>
      <c r="B157" s="44" t="s">
        <v>37</v>
      </c>
      <c r="C157" s="44" t="s">
        <v>36</v>
      </c>
      <c r="D157" s="44" t="s">
        <v>37</v>
      </c>
      <c r="E157" s="44" t="s">
        <v>36</v>
      </c>
      <c r="F157" s="44" t="s">
        <v>37</v>
      </c>
      <c r="G157" s="44" t="s">
        <v>36</v>
      </c>
      <c r="H157" s="44" t="s">
        <v>37</v>
      </c>
      <c r="I157" s="4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8">
        <v>45971.0</v>
      </c>
      <c r="B158" s="65"/>
      <c r="C158" s="78">
        <v>45978.0</v>
      </c>
      <c r="D158" s="65"/>
      <c r="E158" s="78">
        <v>45985.0</v>
      </c>
      <c r="F158" s="49"/>
      <c r="G158" s="78">
        <v>45992.0</v>
      </c>
      <c r="H158" s="49"/>
      <c r="I158" s="67">
        <f>B164+D164+F164+H164</f>
        <v>672000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8">
        <v>45972.0</v>
      </c>
      <c r="B159" s="49"/>
      <c r="C159" s="78">
        <v>45979.0</v>
      </c>
      <c r="D159" s="49"/>
      <c r="E159" s="78">
        <v>45986.0</v>
      </c>
      <c r="F159" s="49"/>
      <c r="G159" s="78">
        <v>45993.0</v>
      </c>
      <c r="H159" s="6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8">
        <v>45973.0</v>
      </c>
      <c r="B160" s="77">
        <v>168000.0</v>
      </c>
      <c r="C160" s="78">
        <v>45980.0</v>
      </c>
      <c r="D160" s="3"/>
      <c r="E160" s="78">
        <v>45987.0</v>
      </c>
      <c r="F160" s="3"/>
      <c r="G160" s="78">
        <v>45994.0</v>
      </c>
      <c r="H160" s="7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8">
        <v>45974.0</v>
      </c>
      <c r="B161" s="3"/>
      <c r="C161" s="78">
        <v>45981.0</v>
      </c>
      <c r="D161" s="77">
        <v>168000.0</v>
      </c>
      <c r="E161" s="78">
        <v>45988.0</v>
      </c>
      <c r="F161" s="77">
        <v>168000.0</v>
      </c>
      <c r="G161" s="78">
        <v>45995.0</v>
      </c>
      <c r="H161" s="83">
        <v>168000.0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8">
        <v>45975.0</v>
      </c>
      <c r="B162" s="3"/>
      <c r="C162" s="78">
        <v>45982.0</v>
      </c>
      <c r="D162" s="3"/>
      <c r="E162" s="78">
        <v>45989.0</v>
      </c>
      <c r="F162" s="3"/>
      <c r="G162" s="78">
        <v>45996.0</v>
      </c>
      <c r="H162" s="7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8">
        <v>45976.0</v>
      </c>
      <c r="B163" s="3"/>
      <c r="C163" s="78">
        <v>45983.0</v>
      </c>
      <c r="D163" s="3"/>
      <c r="E163" s="78">
        <v>45990.0</v>
      </c>
      <c r="F163" s="3"/>
      <c r="G163" s="78">
        <v>45997.0</v>
      </c>
      <c r="H163" s="7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74">
        <f>SUM(B158:B163)</f>
        <v>168000</v>
      </c>
      <c r="C164" s="75"/>
      <c r="D164" s="76">
        <f>SUM(D158:D163)</f>
        <v>168000</v>
      </c>
      <c r="E164" s="8"/>
      <c r="F164" s="76">
        <f>SUM(F158:F163)</f>
        <v>168000</v>
      </c>
      <c r="G164" s="8"/>
      <c r="H164" s="76">
        <f>SUM(H158:H163)</f>
        <v>168000</v>
      </c>
      <c r="I164" s="71">
        <v>16.0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8" t="s">
        <v>38</v>
      </c>
      <c r="B165" s="59"/>
      <c r="C165" s="58" t="s">
        <v>38</v>
      </c>
      <c r="D165" s="59"/>
      <c r="E165" s="58" t="s">
        <v>38</v>
      </c>
      <c r="F165" s="59"/>
      <c r="G165" s="58" t="s">
        <v>38</v>
      </c>
      <c r="H165" s="59"/>
      <c r="I165" s="60">
        <v>1.0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4" t="s">
        <v>36</v>
      </c>
      <c r="B166" s="44" t="s">
        <v>37</v>
      </c>
      <c r="C166" s="44" t="s">
        <v>36</v>
      </c>
      <c r="D166" s="44" t="s">
        <v>37</v>
      </c>
      <c r="E166" s="44" t="s">
        <v>36</v>
      </c>
      <c r="F166" s="44" t="s">
        <v>37</v>
      </c>
      <c r="G166" s="44" t="s">
        <v>36</v>
      </c>
      <c r="H166" s="44" t="s">
        <v>37</v>
      </c>
      <c r="I166" s="4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8">
        <v>45999.0</v>
      </c>
      <c r="B167" s="65"/>
      <c r="C167" s="78">
        <v>46006.0</v>
      </c>
      <c r="D167" s="65"/>
      <c r="E167" s="78">
        <v>46013.0</v>
      </c>
      <c r="F167" s="49"/>
      <c r="G167" s="78">
        <v>46020.0</v>
      </c>
      <c r="H167" s="84"/>
      <c r="I167" s="67">
        <f>B173+D173+F173+H173</f>
        <v>504000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8">
        <v>46000.0</v>
      </c>
      <c r="B168" s="49"/>
      <c r="C168" s="78">
        <v>46007.0</v>
      </c>
      <c r="D168" s="49"/>
      <c r="E168" s="78">
        <v>46014.0</v>
      </c>
      <c r="F168" s="49"/>
      <c r="G168" s="78">
        <v>46021.0</v>
      </c>
      <c r="H168" s="8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8">
        <v>46001.0</v>
      </c>
      <c r="B169" s="77">
        <v>168000.0</v>
      </c>
      <c r="C169" s="78">
        <v>46008.0</v>
      </c>
      <c r="D169" s="86">
        <v>168000.0</v>
      </c>
      <c r="E169" s="78">
        <v>46015.0</v>
      </c>
      <c r="F169" s="77">
        <v>168000.0</v>
      </c>
      <c r="G169" s="78">
        <v>46022.0</v>
      </c>
      <c r="H169" s="8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8">
        <v>46002.0</v>
      </c>
      <c r="B170" s="3"/>
      <c r="C170" s="78">
        <v>46009.0</v>
      </c>
      <c r="D170" s="49"/>
      <c r="E170" s="78">
        <v>46016.0</v>
      </c>
      <c r="F170" s="65"/>
      <c r="G170" s="78">
        <v>46023.0</v>
      </c>
      <c r="H170" s="8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8">
        <v>46003.0</v>
      </c>
      <c r="B171" s="3"/>
      <c r="C171" s="78">
        <v>46010.0</v>
      </c>
      <c r="D171" s="3"/>
      <c r="E171" s="78">
        <v>46017.0</v>
      </c>
      <c r="F171" s="3"/>
      <c r="G171" s="78">
        <v>46024.0</v>
      </c>
      <c r="H171" s="8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8">
        <v>46004.0</v>
      </c>
      <c r="B172" s="3"/>
      <c r="C172" s="78">
        <v>46011.0</v>
      </c>
      <c r="D172" s="3"/>
      <c r="E172" s="78">
        <v>46018.0</v>
      </c>
      <c r="F172" s="3"/>
      <c r="G172" s="78">
        <v>46025.0</v>
      </c>
      <c r="H172" s="8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74">
        <f>B169</f>
        <v>168000</v>
      </c>
      <c r="C173" s="75"/>
      <c r="D173" s="76">
        <f>D169</f>
        <v>168000</v>
      </c>
      <c r="E173" s="8"/>
      <c r="F173" s="76">
        <f>F169</f>
        <v>168000</v>
      </c>
      <c r="G173" s="8"/>
      <c r="H173" s="76" t="str">
        <f>H170</f>
        <v/>
      </c>
      <c r="I173" s="71">
        <v>17.0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8" t="s">
        <v>38</v>
      </c>
      <c r="B174" s="59"/>
      <c r="C174" s="58" t="s">
        <v>38</v>
      </c>
      <c r="D174" s="59"/>
      <c r="E174" s="58" t="s">
        <v>38</v>
      </c>
      <c r="F174" s="59"/>
      <c r="G174" s="58" t="s">
        <v>38</v>
      </c>
      <c r="H174" s="59"/>
      <c r="I174" s="60">
        <v>1.0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4" t="s">
        <v>36</v>
      </c>
      <c r="B175" s="44" t="s">
        <v>37</v>
      </c>
      <c r="C175" s="44" t="s">
        <v>36</v>
      </c>
      <c r="D175" s="44" t="s">
        <v>37</v>
      </c>
      <c r="E175" s="44" t="s">
        <v>36</v>
      </c>
      <c r="F175" s="44" t="s">
        <v>37</v>
      </c>
      <c r="G175" s="44" t="s">
        <v>36</v>
      </c>
      <c r="H175" s="44" t="s">
        <v>37</v>
      </c>
      <c r="I175" s="4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8">
        <v>46027.0</v>
      </c>
      <c r="B176" s="66"/>
      <c r="C176" s="78">
        <v>46034.0</v>
      </c>
      <c r="D176" s="49"/>
      <c r="E176" s="78">
        <v>46041.0</v>
      </c>
      <c r="F176" s="49"/>
      <c r="G176" s="78">
        <v>46048.0</v>
      </c>
      <c r="H176" s="49"/>
      <c r="I176" s="67">
        <f>B182+D182+F182+H182</f>
        <v>672000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8">
        <v>46028.0</v>
      </c>
      <c r="B177" s="88"/>
      <c r="C177" s="78">
        <v>46035.0</v>
      </c>
      <c r="D177" s="49"/>
      <c r="E177" s="78">
        <v>46042.0</v>
      </c>
      <c r="F177" s="49"/>
      <c r="G177" s="78">
        <v>46049.0</v>
      </c>
      <c r="H177" s="6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8">
        <v>46029.0</v>
      </c>
      <c r="B178" s="88"/>
      <c r="C178" s="78">
        <v>46036.0</v>
      </c>
      <c r="D178" s="77">
        <v>168000.0</v>
      </c>
      <c r="E178" s="78">
        <v>46043.0</v>
      </c>
      <c r="F178" s="89">
        <v>168000.0</v>
      </c>
      <c r="G178" s="78">
        <v>46050.0</v>
      </c>
      <c r="H178" s="89">
        <v>168000.0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8">
        <v>46030.0</v>
      </c>
      <c r="B179" s="90">
        <v>168000.0</v>
      </c>
      <c r="C179" s="78">
        <v>46037.0</v>
      </c>
      <c r="D179" s="65"/>
      <c r="E179" s="78">
        <v>46044.0</v>
      </c>
      <c r="F179" s="65"/>
      <c r="G179" s="78">
        <v>46051.0</v>
      </c>
      <c r="H179" s="6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8">
        <v>46031.0</v>
      </c>
      <c r="B180" s="73"/>
      <c r="C180" s="78">
        <v>46038.0</v>
      </c>
      <c r="D180" s="3"/>
      <c r="E180" s="78">
        <v>46045.0</v>
      </c>
      <c r="F180" s="3"/>
      <c r="G180" s="78">
        <v>46052.0</v>
      </c>
      <c r="H180" s="7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8">
        <v>46032.0</v>
      </c>
      <c r="B181" s="73"/>
      <c r="C181" s="78">
        <v>46039.0</v>
      </c>
      <c r="D181" s="3"/>
      <c r="E181" s="78">
        <v>46046.0</v>
      </c>
      <c r="F181" s="3"/>
      <c r="G181" s="78">
        <v>46053.0</v>
      </c>
      <c r="H181" s="7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74">
        <f>B179</f>
        <v>168000</v>
      </c>
      <c r="C182" s="75"/>
      <c r="D182" s="76">
        <f>SUM(D176:D181)</f>
        <v>168000</v>
      </c>
      <c r="E182" s="8"/>
      <c r="F182" s="76">
        <f>SUM(F176:F181)</f>
        <v>168000</v>
      </c>
      <c r="G182" s="8"/>
      <c r="H182" s="76">
        <f>SUM(H176:H181)</f>
        <v>168000</v>
      </c>
      <c r="I182" s="71">
        <v>18.0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8" t="s">
        <v>38</v>
      </c>
      <c r="B183" s="59"/>
      <c r="C183" s="58" t="s">
        <v>38</v>
      </c>
      <c r="D183" s="59"/>
      <c r="E183" s="58" t="s">
        <v>38</v>
      </c>
      <c r="F183" s="59"/>
      <c r="G183" s="58" t="s">
        <v>38</v>
      </c>
      <c r="H183" s="59"/>
      <c r="I183" s="60">
        <v>1.0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4" t="s">
        <v>36</v>
      </c>
      <c r="B184" s="44" t="s">
        <v>37</v>
      </c>
      <c r="C184" s="44" t="s">
        <v>36</v>
      </c>
      <c r="D184" s="44" t="s">
        <v>37</v>
      </c>
      <c r="E184" s="44" t="s">
        <v>36</v>
      </c>
      <c r="F184" s="44" t="s">
        <v>37</v>
      </c>
      <c r="G184" s="44" t="s">
        <v>36</v>
      </c>
      <c r="H184" s="44" t="s">
        <v>37</v>
      </c>
      <c r="I184" s="4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91">
        <v>46055.0</v>
      </c>
      <c r="B185" s="65"/>
      <c r="C185" s="91">
        <v>46062.0</v>
      </c>
      <c r="D185" s="65"/>
      <c r="E185" s="91">
        <v>46069.0</v>
      </c>
      <c r="F185" s="65"/>
      <c r="G185" s="91">
        <v>46076.0</v>
      </c>
      <c r="H185" s="66"/>
      <c r="I185" s="67">
        <f>B191+D191+F191+H191</f>
        <v>672000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91">
        <v>46056.0</v>
      </c>
      <c r="B186" s="77"/>
      <c r="C186" s="91">
        <v>46063.0</v>
      </c>
      <c r="D186" s="77"/>
      <c r="E186" s="91">
        <v>46070.0</v>
      </c>
      <c r="F186" s="77"/>
      <c r="G186" s="91">
        <v>46077.0</v>
      </c>
      <c r="H186" s="8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91">
        <v>46057.0</v>
      </c>
      <c r="B187" s="89">
        <v>168000.0</v>
      </c>
      <c r="C187" s="91">
        <v>46064.0</v>
      </c>
      <c r="D187" s="89">
        <v>168000.0</v>
      </c>
      <c r="E187" s="91">
        <v>46071.0</v>
      </c>
      <c r="F187" s="89">
        <v>168000.0</v>
      </c>
      <c r="G187" s="91">
        <v>46078.0</v>
      </c>
      <c r="H187" s="89">
        <v>168000.0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91">
        <v>46058.0</v>
      </c>
      <c r="B188" s="3"/>
      <c r="C188" s="91">
        <v>46065.0</v>
      </c>
      <c r="D188" s="65"/>
      <c r="E188" s="91">
        <v>46072.0</v>
      </c>
      <c r="F188" s="65"/>
      <c r="G188" s="91">
        <v>46079.0</v>
      </c>
      <c r="H188" s="6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1">
        <v>46059.0</v>
      </c>
      <c r="B189" s="3"/>
      <c r="C189" s="91">
        <v>46066.0</v>
      </c>
      <c r="D189" s="3"/>
      <c r="E189" s="91">
        <v>46073.0</v>
      </c>
      <c r="F189" s="3"/>
      <c r="G189" s="91">
        <v>46080.0</v>
      </c>
      <c r="H189" s="7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1">
        <v>46060.0</v>
      </c>
      <c r="B190" s="3"/>
      <c r="C190" s="91">
        <v>46067.0</v>
      </c>
      <c r="D190" s="3"/>
      <c r="E190" s="91">
        <v>46074.0</v>
      </c>
      <c r="F190" s="3"/>
      <c r="G190" s="91">
        <v>46081.0</v>
      </c>
      <c r="H190" s="7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74">
        <f>SUM(B185:B190)</f>
        <v>168000</v>
      </c>
      <c r="C191" s="75"/>
      <c r="D191" s="76">
        <f>SUM(D185:D190)</f>
        <v>168000</v>
      </c>
      <c r="E191" s="8"/>
      <c r="F191" s="76">
        <f>SUM(F185:F190)</f>
        <v>168000</v>
      </c>
      <c r="G191" s="8"/>
      <c r="H191" s="76">
        <f>SUM(H185:H190)</f>
        <v>168000</v>
      </c>
      <c r="I191" s="71">
        <v>19.0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8" t="s">
        <v>38</v>
      </c>
      <c r="B192" s="59"/>
      <c r="C192" s="58" t="s">
        <v>38</v>
      </c>
      <c r="D192" s="59"/>
      <c r="E192" s="58" t="s">
        <v>38</v>
      </c>
      <c r="F192" s="59"/>
      <c r="G192" s="58" t="s">
        <v>38</v>
      </c>
      <c r="H192" s="59"/>
      <c r="I192" s="60">
        <v>1.0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4" t="s">
        <v>36</v>
      </c>
      <c r="B193" s="44" t="s">
        <v>37</v>
      </c>
      <c r="C193" s="44" t="s">
        <v>36</v>
      </c>
      <c r="D193" s="44" t="s">
        <v>37</v>
      </c>
      <c r="E193" s="44" t="s">
        <v>36</v>
      </c>
      <c r="F193" s="44" t="s">
        <v>37</v>
      </c>
      <c r="G193" s="44" t="s">
        <v>36</v>
      </c>
      <c r="H193" s="44" t="s">
        <v>37</v>
      </c>
      <c r="I193" s="4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91">
        <v>46083.0</v>
      </c>
      <c r="B194" s="65"/>
      <c r="C194" s="91">
        <v>46090.0</v>
      </c>
      <c r="D194" s="65"/>
      <c r="E194" s="91">
        <v>46097.0</v>
      </c>
      <c r="F194" s="65"/>
      <c r="G194" s="91">
        <v>46104.0</v>
      </c>
      <c r="H194" s="66"/>
      <c r="I194" s="67">
        <f>B200+D200+F200+H200</f>
        <v>672000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1">
        <v>46084.0</v>
      </c>
      <c r="B195" s="77"/>
      <c r="C195" s="91">
        <v>46091.0</v>
      </c>
      <c r="D195" s="89">
        <v>168000.0</v>
      </c>
      <c r="E195" s="91">
        <v>46098.0</v>
      </c>
      <c r="F195" s="89">
        <v>168000.0</v>
      </c>
      <c r="G195" s="91">
        <v>46105.0</v>
      </c>
      <c r="H195" s="8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1">
        <v>46085.0</v>
      </c>
      <c r="B196" s="89">
        <v>168000.0</v>
      </c>
      <c r="C196" s="91">
        <v>46092.0</v>
      </c>
      <c r="D196" s="3"/>
      <c r="E196" s="91">
        <v>46099.0</v>
      </c>
      <c r="F196" s="3"/>
      <c r="G196" s="91">
        <v>46106.0</v>
      </c>
      <c r="H196" s="89">
        <v>168000.0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91">
        <v>46086.0</v>
      </c>
      <c r="B197" s="3"/>
      <c r="C197" s="91">
        <v>46093.0</v>
      </c>
      <c r="D197" s="65"/>
      <c r="E197" s="91">
        <v>46100.0</v>
      </c>
      <c r="F197" s="65"/>
      <c r="G197" s="91">
        <v>46107.0</v>
      </c>
      <c r="H197" s="6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91">
        <v>46087.0</v>
      </c>
      <c r="B198" s="3"/>
      <c r="C198" s="91">
        <v>46094.0</v>
      </c>
      <c r="D198" s="3"/>
      <c r="E198" s="91">
        <v>46101.0</v>
      </c>
      <c r="F198" s="3"/>
      <c r="G198" s="91">
        <v>46108.0</v>
      </c>
      <c r="H198" s="7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1">
        <v>46088.0</v>
      </c>
      <c r="B199" s="3"/>
      <c r="C199" s="91">
        <v>46095.0</v>
      </c>
      <c r="D199" s="3"/>
      <c r="E199" s="91">
        <v>46102.0</v>
      </c>
      <c r="F199" s="3"/>
      <c r="G199" s="91">
        <v>46109.0</v>
      </c>
      <c r="H199" s="7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74">
        <f>SUM(B194:B199)</f>
        <v>168000</v>
      </c>
      <c r="C200" s="75"/>
      <c r="D200" s="76">
        <f>SUM(D194:D199)</f>
        <v>168000</v>
      </c>
      <c r="E200" s="8"/>
      <c r="F200" s="76">
        <f>SUM(F194:F199)</f>
        <v>168000</v>
      </c>
      <c r="G200" s="8"/>
      <c r="H200" s="76">
        <f>SUM(H194:H199)</f>
        <v>168000</v>
      </c>
      <c r="I200" s="71">
        <v>20.0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8" t="s">
        <v>38</v>
      </c>
      <c r="B201" s="59"/>
      <c r="C201" s="58" t="s">
        <v>38</v>
      </c>
      <c r="D201" s="59"/>
      <c r="E201" s="58" t="s">
        <v>38</v>
      </c>
      <c r="F201" s="59"/>
      <c r="G201" s="58" t="s">
        <v>38</v>
      </c>
      <c r="H201" s="59"/>
      <c r="I201" s="60">
        <v>1.0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4" t="s">
        <v>36</v>
      </c>
      <c r="B202" s="44" t="s">
        <v>37</v>
      </c>
      <c r="C202" s="44" t="s">
        <v>36</v>
      </c>
      <c r="D202" s="44" t="s">
        <v>37</v>
      </c>
      <c r="E202" s="44" t="s">
        <v>36</v>
      </c>
      <c r="F202" s="44" t="s">
        <v>37</v>
      </c>
      <c r="G202" s="44" t="s">
        <v>36</v>
      </c>
      <c r="H202" s="44" t="s">
        <v>37</v>
      </c>
      <c r="I202" s="4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91">
        <v>46111.0</v>
      </c>
      <c r="B203" s="65"/>
      <c r="C203" s="91">
        <v>46118.0</v>
      </c>
      <c r="D203" s="65"/>
      <c r="E203" s="91">
        <v>46125.0</v>
      </c>
      <c r="F203" s="65"/>
      <c r="G203" s="91">
        <v>46132.0</v>
      </c>
      <c r="H203" s="66"/>
      <c r="I203" s="67">
        <f>B209+D209+F209+H209</f>
        <v>671000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91">
        <v>46112.0</v>
      </c>
      <c r="B204" s="77"/>
      <c r="C204" s="91">
        <v>46119.0</v>
      </c>
      <c r="D204" s="77"/>
      <c r="E204" s="91">
        <v>46126.0</v>
      </c>
      <c r="F204" s="77"/>
      <c r="G204" s="91">
        <v>46133.0</v>
      </c>
      <c r="H204" s="8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91">
        <v>46113.0</v>
      </c>
      <c r="B205" s="89">
        <v>168000.0</v>
      </c>
      <c r="C205" s="91">
        <v>46120.0</v>
      </c>
      <c r="D205" s="89">
        <v>168000.0</v>
      </c>
      <c r="E205" s="91">
        <v>46127.0</v>
      </c>
      <c r="F205" s="92">
        <v>168000.0</v>
      </c>
      <c r="G205" s="91">
        <v>46134.0</v>
      </c>
      <c r="H205" s="93">
        <v>167000.0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91">
        <v>46114.0</v>
      </c>
      <c r="B206" s="3"/>
      <c r="C206" s="91">
        <v>46121.0</v>
      </c>
      <c r="D206" s="65"/>
      <c r="E206" s="91">
        <v>46128.0</v>
      </c>
      <c r="F206" s="65"/>
      <c r="G206" s="91">
        <v>46135.0</v>
      </c>
      <c r="H206" s="6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91">
        <v>46115.0</v>
      </c>
      <c r="B207" s="3"/>
      <c r="C207" s="91">
        <v>46122.0</v>
      </c>
      <c r="D207" s="3"/>
      <c r="E207" s="91">
        <v>46129.0</v>
      </c>
      <c r="F207" s="3"/>
      <c r="G207" s="91">
        <v>46136.0</v>
      </c>
      <c r="H207" s="7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91">
        <v>46116.0</v>
      </c>
      <c r="B208" s="3"/>
      <c r="C208" s="91">
        <v>46123.0</v>
      </c>
      <c r="D208" s="3"/>
      <c r="E208" s="91">
        <v>46130.0</v>
      </c>
      <c r="F208" s="3"/>
      <c r="G208" s="91">
        <v>46137.0</v>
      </c>
      <c r="H208" s="7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74">
        <f>SUM(B203:B208)</f>
        <v>168000</v>
      </c>
      <c r="C209" s="75"/>
      <c r="D209" s="76">
        <f>SUM(D203:D208)</f>
        <v>168000</v>
      </c>
      <c r="E209" s="8"/>
      <c r="F209" s="76">
        <f>SUM(F203:F208)</f>
        <v>168000</v>
      </c>
      <c r="G209" s="8"/>
      <c r="H209" s="76">
        <f>SUM(H203:H208)</f>
        <v>167000</v>
      </c>
      <c r="I209" s="71">
        <v>21.0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8" t="s">
        <v>38</v>
      </c>
      <c r="B210" s="59"/>
      <c r="C210" s="58" t="s">
        <v>38</v>
      </c>
      <c r="D210" s="59"/>
      <c r="E210" s="58" t="s">
        <v>38</v>
      </c>
      <c r="F210" s="59"/>
      <c r="G210" s="58" t="s">
        <v>38</v>
      </c>
      <c r="H210" s="59"/>
      <c r="I210" s="94">
        <v>1.0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4" t="s">
        <v>36</v>
      </c>
      <c r="B211" s="44" t="s">
        <v>37</v>
      </c>
      <c r="C211" s="44" t="s">
        <v>36</v>
      </c>
      <c r="D211" s="44" t="s">
        <v>37</v>
      </c>
      <c r="E211" s="44" t="s">
        <v>36</v>
      </c>
      <c r="F211" s="44" t="s">
        <v>37</v>
      </c>
      <c r="G211" s="44" t="s">
        <v>36</v>
      </c>
      <c r="H211" s="44" t="s">
        <v>37</v>
      </c>
      <c r="I211" s="4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91">
        <v>46139.0</v>
      </c>
      <c r="B212" s="65"/>
      <c r="C212" s="91">
        <v>46146.0</v>
      </c>
      <c r="D212" s="65"/>
      <c r="E212" s="91">
        <v>46153.0</v>
      </c>
      <c r="F212" s="65"/>
      <c r="G212" s="91">
        <v>46160.0</v>
      </c>
      <c r="H212" s="66"/>
      <c r="I212" s="67">
        <f>B218+D218+F218+H218</f>
        <v>504000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91">
        <v>46140.0</v>
      </c>
      <c r="B213" s="77"/>
      <c r="C213" s="91">
        <v>46147.0</v>
      </c>
      <c r="D213" s="77"/>
      <c r="E213" s="91">
        <v>46154.0</v>
      </c>
      <c r="F213" s="77"/>
      <c r="G213" s="91">
        <v>46161.0</v>
      </c>
      <c r="H213" s="8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91">
        <v>46141.0</v>
      </c>
      <c r="B214" s="89">
        <v>168000.0</v>
      </c>
      <c r="C214" s="91">
        <v>46148.0</v>
      </c>
      <c r="D214" s="89">
        <v>168000.0</v>
      </c>
      <c r="E214" s="91">
        <v>46155.0</v>
      </c>
      <c r="F214" s="89">
        <v>168000.0</v>
      </c>
      <c r="G214" s="91">
        <v>46162.0</v>
      </c>
      <c r="H214" s="9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91">
        <v>46142.0</v>
      </c>
      <c r="B215" s="3"/>
      <c r="C215" s="91">
        <v>46149.0</v>
      </c>
      <c r="D215" s="65"/>
      <c r="E215" s="91">
        <v>46156.0</v>
      </c>
      <c r="F215" s="65"/>
      <c r="G215" s="91">
        <v>46163.0</v>
      </c>
      <c r="H215" s="6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91">
        <v>46143.0</v>
      </c>
      <c r="B216" s="3"/>
      <c r="C216" s="91">
        <v>46150.0</v>
      </c>
      <c r="D216" s="3"/>
      <c r="E216" s="91">
        <v>46157.0</v>
      </c>
      <c r="F216" s="3"/>
      <c r="G216" s="91">
        <v>46164.0</v>
      </c>
      <c r="H216" s="7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91">
        <v>46144.0</v>
      </c>
      <c r="B217" s="3"/>
      <c r="C217" s="91">
        <v>46151.0</v>
      </c>
      <c r="D217" s="3"/>
      <c r="E217" s="91">
        <v>46158.0</v>
      </c>
      <c r="F217" s="3"/>
      <c r="G217" s="91">
        <v>46165.0</v>
      </c>
      <c r="H217" s="7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74">
        <f>SUM(B212:B217)</f>
        <v>168000</v>
      </c>
      <c r="C218" s="75"/>
      <c r="D218" s="76">
        <f>SUM(D212:D217)</f>
        <v>168000</v>
      </c>
      <c r="E218" s="8"/>
      <c r="F218" s="76">
        <f>SUM(F212:F217)</f>
        <v>168000</v>
      </c>
      <c r="G218" s="8"/>
      <c r="H218" s="76">
        <f>SUM(H212:H217)</f>
        <v>0</v>
      </c>
      <c r="I218" s="71">
        <v>22.0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8" t="s">
        <v>38</v>
      </c>
      <c r="B219" s="59"/>
      <c r="C219" s="58" t="s">
        <v>38</v>
      </c>
      <c r="D219" s="59"/>
      <c r="E219" s="58" t="s">
        <v>38</v>
      </c>
      <c r="F219" s="59"/>
      <c r="G219" s="58" t="s">
        <v>38</v>
      </c>
      <c r="H219" s="59"/>
      <c r="I219" s="9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4" t="s">
        <v>36</v>
      </c>
      <c r="B220" s="44" t="s">
        <v>37</v>
      </c>
      <c r="C220" s="44" t="s">
        <v>36</v>
      </c>
      <c r="D220" s="44" t="s">
        <v>37</v>
      </c>
      <c r="E220" s="44" t="s">
        <v>36</v>
      </c>
      <c r="F220" s="44" t="s">
        <v>37</v>
      </c>
      <c r="G220" s="44" t="s">
        <v>36</v>
      </c>
      <c r="H220" s="44" t="s">
        <v>37</v>
      </c>
      <c r="I220" s="4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1">
        <v>46167.0</v>
      </c>
      <c r="B221" s="65"/>
      <c r="C221" s="91">
        <v>46174.0</v>
      </c>
      <c r="D221" s="65"/>
      <c r="E221" s="91">
        <v>46181.0</v>
      </c>
      <c r="F221" s="65"/>
      <c r="G221" s="91">
        <v>46188.0</v>
      </c>
      <c r="H221" s="66"/>
      <c r="I221" s="67">
        <f>B227+D227+F227+H227</f>
        <v>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1">
        <v>46168.0</v>
      </c>
      <c r="B222" s="77"/>
      <c r="C222" s="91">
        <v>46175.0</v>
      </c>
      <c r="D222" s="77"/>
      <c r="E222" s="91">
        <v>46182.0</v>
      </c>
      <c r="F222" s="77"/>
      <c r="G222" s="91">
        <v>46189.0</v>
      </c>
      <c r="H222" s="8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1">
        <v>46169.0</v>
      </c>
      <c r="B223" s="89"/>
      <c r="C223" s="91">
        <v>46176.0</v>
      </c>
      <c r="D223" s="89"/>
      <c r="E223" s="91">
        <v>46183.0</v>
      </c>
      <c r="F223" s="92"/>
      <c r="G223" s="91">
        <v>46190.0</v>
      </c>
      <c r="H223" s="9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1">
        <v>46170.0</v>
      </c>
      <c r="B224" s="3"/>
      <c r="C224" s="91">
        <v>46177.0</v>
      </c>
      <c r="D224" s="65"/>
      <c r="E224" s="91">
        <v>46184.0</v>
      </c>
      <c r="F224" s="65"/>
      <c r="G224" s="91">
        <v>46191.0</v>
      </c>
      <c r="H224" s="6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1">
        <v>46171.0</v>
      </c>
      <c r="B225" s="3"/>
      <c r="C225" s="91">
        <v>46178.0</v>
      </c>
      <c r="D225" s="3"/>
      <c r="E225" s="91">
        <v>46185.0</v>
      </c>
      <c r="F225" s="3"/>
      <c r="G225" s="91">
        <v>46192.0</v>
      </c>
      <c r="H225" s="7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1">
        <v>46172.0</v>
      </c>
      <c r="B226" s="3"/>
      <c r="C226" s="91">
        <v>46179.0</v>
      </c>
      <c r="D226" s="3"/>
      <c r="E226" s="91">
        <v>46186.0</v>
      </c>
      <c r="F226" s="3"/>
      <c r="G226" s="91">
        <v>46193.0</v>
      </c>
      <c r="H226" s="7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74">
        <f>SUM(B221:B226)</f>
        <v>0</v>
      </c>
      <c r="C227" s="75"/>
      <c r="D227" s="76">
        <f>SUM(D221:D226)</f>
        <v>0</v>
      </c>
      <c r="E227" s="8"/>
      <c r="F227" s="76">
        <f>SUM(F221:F226)</f>
        <v>0</v>
      </c>
      <c r="G227" s="8"/>
      <c r="H227" s="76">
        <f>SUM(H221:H226)</f>
        <v>0</v>
      </c>
      <c r="I227" s="71">
        <v>23.0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8" t="s">
        <v>38</v>
      </c>
      <c r="B228" s="59"/>
      <c r="C228" s="58" t="s">
        <v>38</v>
      </c>
      <c r="D228" s="59"/>
      <c r="E228" s="58" t="s">
        <v>38</v>
      </c>
      <c r="F228" s="59"/>
      <c r="G228" s="58" t="s">
        <v>38</v>
      </c>
      <c r="H228" s="59"/>
      <c r="I228" s="9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</sheetData>
  <mergeCells count="43">
    <mergeCell ref="C10:D11"/>
    <mergeCell ref="E10:F11"/>
    <mergeCell ref="I1:I12"/>
    <mergeCell ref="A7:B7"/>
    <mergeCell ref="H8:H9"/>
    <mergeCell ref="A9:B9"/>
    <mergeCell ref="C9:D9"/>
    <mergeCell ref="E9:F9"/>
    <mergeCell ref="A10:B11"/>
    <mergeCell ref="A12:D12"/>
    <mergeCell ref="A52:I52"/>
    <mergeCell ref="A62:I62"/>
    <mergeCell ref="A72:I72"/>
    <mergeCell ref="A82:I82"/>
    <mergeCell ref="A92:I92"/>
    <mergeCell ref="G10:G11"/>
    <mergeCell ref="H10:H11"/>
    <mergeCell ref="I14:I19"/>
    <mergeCell ref="A22:I22"/>
    <mergeCell ref="I24:I29"/>
    <mergeCell ref="A32:I32"/>
    <mergeCell ref="A42:I42"/>
    <mergeCell ref="I34:I39"/>
    <mergeCell ref="I44:I49"/>
    <mergeCell ref="I54:I59"/>
    <mergeCell ref="I64:I69"/>
    <mergeCell ref="I74:I79"/>
    <mergeCell ref="I84:I89"/>
    <mergeCell ref="I94:I99"/>
    <mergeCell ref="I167:I172"/>
    <mergeCell ref="I176:I181"/>
    <mergeCell ref="I185:I190"/>
    <mergeCell ref="I194:I199"/>
    <mergeCell ref="I203:I208"/>
    <mergeCell ref="I212:I217"/>
    <mergeCell ref="I221:I226"/>
    <mergeCell ref="I103:I108"/>
    <mergeCell ref="I113:I118"/>
    <mergeCell ref="I122:I127"/>
    <mergeCell ref="I131:I136"/>
    <mergeCell ref="I140:I145"/>
    <mergeCell ref="I149:I154"/>
    <mergeCell ref="I158:I1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3" width="29.0"/>
    <col customWidth="1" min="4" max="4" width="18.38"/>
    <col customWidth="1" min="5" max="5" width="21.38"/>
  </cols>
  <sheetData>
    <row r="1">
      <c r="A1" s="95" t="s">
        <v>35</v>
      </c>
      <c r="B1" s="96"/>
      <c r="C1" s="96"/>
      <c r="D1" s="96"/>
      <c r="E1" s="96"/>
      <c r="F1" s="97"/>
    </row>
    <row r="2">
      <c r="A2" s="98"/>
      <c r="B2" s="8"/>
      <c r="C2" s="8"/>
      <c r="D2" s="8"/>
      <c r="E2" s="8"/>
      <c r="F2" s="99"/>
    </row>
    <row r="3">
      <c r="A3" s="100" t="s">
        <v>39</v>
      </c>
      <c r="B3" s="101"/>
      <c r="C3" s="102" t="str">
        <f>PAGOS!A7</f>
        <v>DAIRO TORRES SALCEDO</v>
      </c>
      <c r="D3" s="103"/>
      <c r="E3" s="103"/>
      <c r="F3" s="104"/>
    </row>
    <row r="4">
      <c r="A4" s="105" t="s">
        <v>40</v>
      </c>
      <c r="B4" s="106">
        <f>PAGOS!A18</f>
        <v>45555</v>
      </c>
      <c r="C4" s="107"/>
      <c r="D4" s="108"/>
      <c r="E4" s="108"/>
      <c r="F4" s="109"/>
    </row>
    <row r="5">
      <c r="A5" s="105" t="s">
        <v>41</v>
      </c>
      <c r="B5" s="110">
        <f>PAGOS!G2</f>
        <v>6800000</v>
      </c>
      <c r="C5" s="111" t="str">
        <f>PAGOS!F2</f>
        <v>MOVIL 18</v>
      </c>
    </row>
    <row r="6">
      <c r="A6" s="105" t="s">
        <v>42</v>
      </c>
      <c r="B6" s="112">
        <f>PAGOS!H2</f>
        <v>800000</v>
      </c>
    </row>
    <row r="7">
      <c r="A7" s="113" t="s">
        <v>43</v>
      </c>
      <c r="B7" s="110">
        <f>PAGOS!A5</f>
        <v>6000000</v>
      </c>
    </row>
    <row r="8">
      <c r="A8" s="114" t="s">
        <v>44</v>
      </c>
      <c r="B8" s="115">
        <f>PAGOS!B5</f>
        <v>10140000</v>
      </c>
    </row>
    <row r="9">
      <c r="A9" s="105" t="s">
        <v>45</v>
      </c>
      <c r="B9" s="116">
        <f>PAGOS!C5</f>
        <v>16140000</v>
      </c>
    </row>
    <row r="10">
      <c r="A10" s="117" t="s">
        <v>26</v>
      </c>
      <c r="B10" s="118">
        <f>PAGOS!F7</f>
        <v>0</v>
      </c>
      <c r="C10" s="119" t="str">
        <f>PAGOS!G4</f>
        <v>SEMANAL</v>
      </c>
    </row>
    <row r="11">
      <c r="A11" s="120" t="s">
        <v>46</v>
      </c>
      <c r="B11" s="118"/>
    </row>
    <row r="12">
      <c r="A12" s="117" t="s">
        <v>27</v>
      </c>
      <c r="B12" s="118">
        <f>PAGOS!G7</f>
        <v>280000</v>
      </c>
    </row>
    <row r="13">
      <c r="A13" s="121" t="s">
        <v>47</v>
      </c>
      <c r="B13" s="122">
        <v>25000.0</v>
      </c>
      <c r="C13" s="123">
        <f>PAGOS!G5</f>
        <v>168125</v>
      </c>
    </row>
    <row r="14">
      <c r="A14" s="121" t="s">
        <v>48</v>
      </c>
      <c r="B14" s="122">
        <f>B13*B15</f>
        <v>600000</v>
      </c>
    </row>
    <row r="15">
      <c r="A15" s="124" t="s">
        <v>49</v>
      </c>
      <c r="B15" s="125">
        <f>PAGOS!D5</f>
        <v>24</v>
      </c>
    </row>
    <row r="16">
      <c r="A16" s="126" t="s">
        <v>50</v>
      </c>
      <c r="B16" s="127">
        <f>PAGOS!C5</f>
        <v>16140000</v>
      </c>
    </row>
    <row r="17">
      <c r="A17" s="128" t="s">
        <v>51</v>
      </c>
      <c r="B17" s="129" t="s">
        <v>52</v>
      </c>
      <c r="C17" s="129" t="s">
        <v>53</v>
      </c>
      <c r="D17" s="129" t="s">
        <v>54</v>
      </c>
      <c r="E17" s="129" t="s">
        <v>55</v>
      </c>
      <c r="F17" s="27"/>
    </row>
    <row r="18">
      <c r="A18" s="130">
        <f>PAGOS!A10</f>
        <v>14111000</v>
      </c>
      <c r="B18" s="131">
        <f>PAGOS!E10</f>
        <v>2510000</v>
      </c>
      <c r="C18" s="132">
        <f>PAGOS!G10</f>
        <v>201000</v>
      </c>
      <c r="D18" s="133"/>
      <c r="E18" s="8"/>
      <c r="F18" s="8"/>
    </row>
  </sheetData>
  <mergeCells count="6">
    <mergeCell ref="A1:F1"/>
    <mergeCell ref="A3:B3"/>
    <mergeCell ref="C3:F4"/>
    <mergeCell ref="C5:F9"/>
    <mergeCell ref="C10:F12"/>
    <mergeCell ref="C13:F16"/>
  </mergeCells>
  <drawing r:id="rId1"/>
</worksheet>
</file>