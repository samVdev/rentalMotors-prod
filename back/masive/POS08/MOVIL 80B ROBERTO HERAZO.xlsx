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<sst xmlns="http://schemas.openxmlformats.org/spreadsheetml/2006/main" count="54" uniqueCount="40">
  <si>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</si>
  <si>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</si>
  <si>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</si>
  <si>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</si>
  <si>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</si>
  <si>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</si>
  <si>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</si>
  <si>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</si>
  <si>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</si>
  <si>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>BOXER</t>
  </si>
  <si>
    <t>BAJAJ</t>
  </si>
  <si>
    <t>80B</t>
  </si>
  <si>
    <t xml:space="preserve"> 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</si>
  <si>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</si>
  <si>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</si>
  <si>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</si>
  <si>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</si>
  <si>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</si>
  <si>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</si>
  <si>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</si>
  <si>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</si>
  <si>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</si>
  <si>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APELLIDOS</t>
  </si>
  <si>
    <t>CEDULA</t>
  </si>
  <si>
    <t xml:space="preserve">NACIONALIDAD </t>
  </si>
  <si>
    <t>NUMERO</t>
  </si>
  <si>
    <t>SOAT</t>
  </si>
  <si>
    <t>Traspaso de propiedad</t>
  </si>
  <si>
    <t xml:space="preserve">DEUDA DE SEMANA </t>
  </si>
  <si>
    <t>ROBERTO CARLOS</t>
  </si>
  <si>
    <t>HERAZO TOVAR</t>
  </si>
  <si>
    <t>COLOMBIANA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</si>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</sst>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.00"/>
  </numFmts>
  <fonts count="22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sz val="12.0"/>
      <color rgb="FFFFFFFF"/>
      <name val="Nunito"/>
    </font>
    <font>
      <b/>
      <sz val="13.0"/>
      <color theme="1"/>
      <name val="Nunito"/>
    </font>
    <font>
      <b/>
      <sz val="13.0"/>
      <color theme="1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color theme="1"/>
      <name val="Arial"/>
    </font>
    <font>
      <b/>
      <sz val="12.0"/>
      <color theme="1"/>
      <name val="Arial"/>
    </font>
    <font>
      <sz val="25.0"/>
      <color theme="1"/>
      <name val="Arial"/>
    </font>
    <font>
      <color rgb="FFFFFFFF"/>
      <name val="Arial"/>
    </font>
    <font/>
    <font>
      <b/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>
      <sz val="23.0"/>
      <color theme="1"/>
      <name val="Arial"/>
    </font>
    <font>
      <b/>
      <sz val="19.0"/>
      <color rgb="FFFFFFFF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34A853"/>
        <bgColor rgb="FF34A853"/>
      </patternFill>
    </fill>
    <fill>
      <patternFill patternType="solid">
        <fgColor rgb="FF666666"/>
        <bgColor rgb="FF666666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2" numFmtId="0" xfId="0" applyAlignment="1" applyBorder="1" applyFont="1">
      <alignment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3" fontId="6" numFmtId="165" xfId="0" applyAlignment="1" applyBorder="1" applyFont="1" applyNumberFormat="1">
      <alignment horizontal="center" vertical="bottom"/>
    </xf>
    <xf borderId="1" fillId="3" fontId="6" numFmtId="165" xfId="0" applyAlignment="1" applyBorder="1" applyFont="1" applyNumberFormat="1">
      <alignment horizontal="center" readingOrder="0" vertical="bottom"/>
    </xf>
    <xf borderId="1" fillId="3" fontId="6" numFmtId="4" xfId="0" applyAlignment="1" applyBorder="1" applyFont="1" applyNumberFormat="1">
      <alignment horizontal="center" vertical="bottom"/>
    </xf>
    <xf borderId="1" fillId="3" fontId="6" numFmtId="1" xfId="0" applyAlignment="1" applyBorder="1" applyFont="1" applyNumberFormat="1">
      <alignment horizontal="center" readingOrder="0" vertical="bottom"/>
    </xf>
    <xf borderId="2" fillId="3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7" fontId="9" numFmtId="0" xfId="0" applyAlignment="1" applyFont="1">
      <alignment horizontal="center" readingOrder="0" vertical="bottom"/>
    </xf>
    <xf borderId="0" fillId="8" fontId="10" numFmtId="0" xfId="0" applyAlignment="1" applyFill="1" applyFont="1">
      <alignment horizontal="center" shrinkToFit="0" vertical="bottom" wrapText="1"/>
    </xf>
    <xf borderId="0" fillId="8" fontId="11" numFmtId="0" xfId="0" applyAlignment="1" applyFont="1">
      <alignment horizontal="center" shrinkToFit="0" vertical="bottom" wrapText="1"/>
    </xf>
    <xf borderId="0" fillId="9" fontId="12" numFmtId="0" xfId="0" applyAlignment="1" applyFill="1" applyFont="1">
      <alignment horizontal="center" readingOrder="0" vertical="bottom"/>
    </xf>
    <xf borderId="0" fillId="9" fontId="13" numFmtId="3" xfId="0" applyAlignment="1" applyFont="1" applyNumberFormat="1">
      <alignment horizontal="center" readingOrder="0" vertical="bottom"/>
    </xf>
    <xf borderId="0" fillId="9" fontId="12" numFmtId="0" xfId="0" applyAlignment="1" applyFont="1">
      <alignment horizontal="center" vertical="bottom"/>
    </xf>
    <xf borderId="0" fillId="9" fontId="13" numFmtId="0" xfId="0" applyAlignment="1" applyFont="1">
      <alignment horizontal="center" shrinkToFit="0" vertical="bottom" wrapText="1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9" numFmtId="0" xfId="0" applyAlignment="1" applyFont="1">
      <alignment horizontal="center" vertical="bottom"/>
    </xf>
    <xf borderId="0" fillId="5" fontId="15" numFmtId="0" xfId="0" applyAlignment="1" applyFont="1">
      <alignment horizontal="center" vertical="bottom"/>
    </xf>
    <xf borderId="5" fillId="0" fontId="16" numFmtId="0" xfId="0" applyBorder="1" applyFont="1"/>
    <xf borderId="0" fillId="11" fontId="17" numFmtId="164" xfId="0" applyAlignment="1" applyFont="1" applyNumberFormat="1">
      <alignment horizontal="center" vertical="bottom"/>
    </xf>
    <xf borderId="0" fillId="12" fontId="18" numFmtId="4" xfId="0" applyAlignment="1" applyFill="1" applyFont="1" applyNumberFormat="1">
      <alignment horizontal="center" vertical="bottom"/>
    </xf>
    <xf borderId="0" fillId="10" fontId="19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20" numFmtId="0" xfId="0" applyAlignment="1" applyBorder="1" applyFont="1">
      <alignment horizontal="center" vertical="bottom"/>
    </xf>
    <xf borderId="6" fillId="0" fontId="16" numFmtId="0" xfId="0" applyBorder="1" applyFont="1"/>
    <xf borderId="0" fillId="14" fontId="9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9" numFmtId="0" xfId="0" applyAlignment="1" applyFill="1" applyFont="1">
      <alignment horizontal="center" vertical="bottom"/>
    </xf>
    <xf borderId="0" fillId="15" fontId="2" numFmtId="0" xfId="0" applyAlignment="1" applyFont="1">
      <alignment vertical="bottom"/>
    </xf>
    <xf borderId="0" fillId="11" fontId="2" numFmtId="166" xfId="0" applyAlignment="1" applyFont="1" applyNumberFormat="1">
      <alignment vertical="bottom"/>
    </xf>
    <xf borderId="0" fillId="16" fontId="2" numFmtId="4" xfId="0" applyAlignment="1" applyFill="1" applyFont="1" applyNumberFormat="1">
      <alignment vertical="bottom"/>
    </xf>
    <xf borderId="0" fillId="0" fontId="2" numFmtId="4" xfId="0" applyAlignment="1" applyFont="1" applyNumberFormat="1">
      <alignment vertical="bottom"/>
    </xf>
    <xf borderId="0" fillId="17" fontId="2" numFmtId="166" xfId="0" applyAlignment="1" applyFill="1" applyFont="1" applyNumberFormat="1">
      <alignment vertical="bottom"/>
    </xf>
    <xf borderId="0" fillId="4" fontId="21" numFmtId="164" xfId="0" applyAlignment="1" applyFont="1" applyNumberFormat="1">
      <alignment horizontal="center" vertical="bottom"/>
    </xf>
    <xf borderId="0" fillId="11" fontId="14" numFmtId="0" xfId="0" applyAlignment="1" applyFont="1">
      <alignment horizontal="center" readingOrder="0" vertical="bottom"/>
    </xf>
    <xf borderId="0" fillId="17" fontId="2" numFmtId="0" xfId="0" applyAlignment="1" applyFont="1">
      <alignment vertical="bottom"/>
    </xf>
    <xf borderId="0" fillId="18" fontId="2" numFmtId="0" xfId="0" applyAlignment="1" applyFill="1" applyFont="1">
      <alignment vertical="bottom"/>
    </xf>
    <xf borderId="0" fillId="19" fontId="2" numFmtId="0" xfId="0" applyAlignment="1" applyFill="1" applyFont="1">
      <alignment vertical="bottom"/>
    </xf>
    <xf borderId="0" fillId="19" fontId="2" numFmtId="4" xfId="0" applyAlignment="1" applyFont="1" applyNumberFormat="1">
      <alignment vertical="bottom"/>
    </xf>
    <xf borderId="0" fillId="19" fontId="9" numFmtId="4" xfId="0" applyAlignment="1" applyFont="1" applyNumberFormat="1">
      <alignment horizontal="center" vertical="bottom"/>
    </xf>
    <xf borderId="0" fillId="19" fontId="2" numFmtId="167" xfId="0" applyAlignment="1" applyFont="1" applyNumberFormat="1">
      <alignment vertical="bottom"/>
    </xf>
    <xf borderId="0" fillId="19" fontId="15" numFmtId="167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1581150</xdr:colOff>
      <xdr:row>0</xdr:row>
      <xdr:rowOff>0</xdr:rowOff>
    </xdr:from>
    <xdr:ext cx="1962150" cy="27527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20.5"/>
    <col customWidth="1" min="2" max="2" width="21.25"/>
    <col customWidth="1" min="3" max="3" width="16.88"/>
    <col customWidth="1" min="4" max="4" width="18.75"/>
    <col customWidth="1" min="5" max="5" width="19.25"/>
    <col customWidth="1" min="6" max="6" width="19.38"/>
    <col customWidth="1" min="7" max="7" width="20.13"/>
    <col customWidth="1" min="8" max="8" width="21.0"/>
    <col customWidth="1" min="9" max="9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/>
      <c r="F2" s="9" t="s">
        <v>11</v>
      </c>
      <c r="G2" s="10">
        <v>6800000.0</v>
      </c>
      <c r="H2" s="10">
        <v>1000000.0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 t="s">
        <v>12</v>
      </c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5800000</v>
      </c>
      <c r="B5" s="15">
        <v>2.801</v>
      </c>
      <c r="C5" s="16">
        <f>A5*B5</f>
        <v>16245800</v>
      </c>
      <c r="D5" s="17">
        <v>18.0</v>
      </c>
      <c r="E5" s="18">
        <f>C5/D5</f>
        <v>902544.4444</v>
      </c>
      <c r="F5" s="19">
        <f>E5/2</f>
        <v>451272.2222</v>
      </c>
      <c r="G5" s="18">
        <f>E5/4</f>
        <v>225636.1111</v>
      </c>
      <c r="H5" s="18">
        <f>G5/6</f>
        <v>37606.01852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1" t="s">
        <v>22</v>
      </c>
      <c r="C6" s="20" t="s">
        <v>23</v>
      </c>
      <c r="D6" s="20" t="s">
        <v>24</v>
      </c>
      <c r="E6" s="20" t="s">
        <v>25</v>
      </c>
      <c r="F6" s="22" t="s">
        <v>26</v>
      </c>
      <c r="G6" s="23" t="s">
        <v>27</v>
      </c>
      <c r="H6" s="23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4" t="s">
        <v>29</v>
      </c>
      <c r="B7" s="24" t="s">
        <v>30</v>
      </c>
      <c r="C7" s="25">
        <v>1.002302267E9</v>
      </c>
      <c r="D7" s="26" t="s">
        <v>31</v>
      </c>
      <c r="E7" s="24">
        <v>3.228980373E9</v>
      </c>
      <c r="F7" s="27" t="s">
        <v>32</v>
      </c>
      <c r="G7" s="27" t="s">
        <v>32</v>
      </c>
      <c r="H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9"/>
      <c r="B8" s="29"/>
      <c r="C8" s="29"/>
      <c r="D8" s="29"/>
      <c r="E8" s="30"/>
      <c r="F8" s="31"/>
      <c r="G8" s="29"/>
      <c r="H8" s="32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33</v>
      </c>
      <c r="C9" s="34" t="s">
        <v>34</v>
      </c>
      <c r="E9" s="34" t="s">
        <v>35</v>
      </c>
      <c r="G9" s="34" t="s">
        <v>36</v>
      </c>
      <c r="H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6">
        <f>H16+H25</f>
        <v>0</v>
      </c>
      <c r="C10" s="37">
        <f>C5-A10</f>
        <v>16245800</v>
      </c>
      <c r="E10" s="38">
        <f>C10+G10</f>
        <v>16245800</v>
      </c>
      <c r="G10" s="39"/>
      <c r="H10" s="40">
        <f>I21+I30</f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2" t="s">
        <v>37</v>
      </c>
      <c r="E12" s="43"/>
      <c r="F12" s="44"/>
      <c r="G12" s="44"/>
      <c r="H12" s="4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6" t="s">
        <v>38</v>
      </c>
      <c r="B15" s="46" t="s">
        <v>38</v>
      </c>
      <c r="C15" s="46" t="s">
        <v>39</v>
      </c>
      <c r="D15" s="46" t="s">
        <v>38</v>
      </c>
      <c r="E15" s="46" t="s">
        <v>38</v>
      </c>
      <c r="F15" s="46" t="s">
        <v>39</v>
      </c>
      <c r="G15" s="47"/>
      <c r="H15" s="46" t="s">
        <v>39</v>
      </c>
      <c r="I15" s="47"/>
      <c r="J15" s="3"/>
      <c r="K15" s="3"/>
      <c r="L15" s="3"/>
      <c r="M15" s="3"/>
      <c r="N15" s="3"/>
      <c r="O15" s="3"/>
      <c r="P15" s="3"/>
      <c r="Q15" s="3"/>
    </row>
    <row r="16">
      <c r="A16" s="48"/>
      <c r="B16" s="48"/>
      <c r="C16" s="49"/>
      <c r="D16" s="48"/>
      <c r="E16" s="48"/>
      <c r="F16" s="50"/>
      <c r="G16" s="51"/>
      <c r="H16" s="52">
        <f>C22+F22</f>
        <v>0</v>
      </c>
      <c r="I16" s="53">
        <v>1.0</v>
      </c>
      <c r="J16" s="3"/>
      <c r="K16" s="3"/>
      <c r="L16" s="3"/>
      <c r="M16" s="3"/>
      <c r="N16" s="3"/>
      <c r="O16" s="3"/>
      <c r="P16" s="3"/>
      <c r="Q16" s="3"/>
    </row>
    <row r="17">
      <c r="A17" s="48"/>
      <c r="B17" s="48"/>
      <c r="D17" s="48"/>
      <c r="E17" s="48"/>
      <c r="G17" s="51"/>
      <c r="J17" s="3"/>
      <c r="K17" s="3"/>
      <c r="L17" s="3"/>
      <c r="M17" s="3"/>
      <c r="N17" s="3"/>
      <c r="O17" s="3"/>
      <c r="P17" s="3"/>
      <c r="Q17" s="3"/>
    </row>
    <row r="18">
      <c r="A18" s="48"/>
      <c r="B18" s="48"/>
      <c r="D18" s="48"/>
      <c r="E18" s="48"/>
      <c r="G18" s="51"/>
      <c r="J18" s="3"/>
      <c r="K18" s="3"/>
      <c r="L18" s="3"/>
      <c r="M18" s="3"/>
      <c r="N18" s="3"/>
      <c r="O18" s="3"/>
      <c r="P18" s="3"/>
      <c r="Q18" s="3"/>
    </row>
    <row r="19">
      <c r="A19" s="48"/>
      <c r="B19" s="48"/>
      <c r="D19" s="48"/>
      <c r="E19" s="48"/>
      <c r="G19" s="51"/>
      <c r="J19" s="3"/>
      <c r="K19" s="3"/>
      <c r="L19" s="3"/>
      <c r="M19" s="3"/>
      <c r="N19" s="3"/>
      <c r="O19" s="3"/>
      <c r="P19" s="3"/>
      <c r="Q19" s="3"/>
    </row>
    <row r="20">
      <c r="A20" s="48"/>
      <c r="B20" s="48"/>
      <c r="D20" s="48"/>
      <c r="E20" s="48"/>
      <c r="G20" s="51"/>
      <c r="J20" s="3"/>
      <c r="K20" s="3"/>
      <c r="L20" s="3"/>
      <c r="M20" s="3"/>
      <c r="N20" s="3"/>
      <c r="O20" s="3"/>
      <c r="P20" s="3"/>
      <c r="Q20" s="3"/>
    </row>
    <row r="21">
      <c r="A21" s="48"/>
      <c r="B21" s="48"/>
      <c r="D21" s="48"/>
      <c r="E21" s="48"/>
      <c r="G21" s="54"/>
      <c r="I21" s="55"/>
      <c r="J21" s="3"/>
      <c r="K21" s="3"/>
      <c r="L21" s="3"/>
      <c r="M21" s="3"/>
      <c r="N21" s="3"/>
      <c r="O21" s="3"/>
      <c r="P21" s="3"/>
      <c r="Q21" s="3"/>
    </row>
    <row r="22">
      <c r="A22" s="56"/>
      <c r="B22" s="57"/>
      <c r="C22" s="58">
        <f>SUM(C16:C21)</f>
        <v>0</v>
      </c>
      <c r="D22" s="59"/>
      <c r="E22" s="59"/>
      <c r="F22" s="60">
        <f>SUM(F16:F21)</f>
        <v>0</v>
      </c>
      <c r="G22" s="56"/>
      <c r="H22" s="59"/>
      <c r="I22" s="56"/>
      <c r="J22" s="3"/>
      <c r="K22" s="3"/>
      <c r="L22" s="3"/>
      <c r="M22" s="3"/>
      <c r="N22" s="3"/>
      <c r="O22" s="3"/>
      <c r="P22" s="3"/>
      <c r="Q22" s="3"/>
    </row>
    <row r="23">
      <c r="A23" s="11"/>
      <c r="J23" s="3"/>
      <c r="K23" s="3"/>
      <c r="L23" s="3"/>
      <c r="M23" s="3"/>
      <c r="N23" s="3"/>
      <c r="O23" s="3"/>
      <c r="P23" s="3"/>
      <c r="Q23" s="3"/>
    </row>
    <row r="24">
      <c r="A24" s="46" t="s">
        <v>38</v>
      </c>
      <c r="B24" s="46" t="s">
        <v>38</v>
      </c>
      <c r="C24" s="46" t="s">
        <v>39</v>
      </c>
      <c r="D24" s="46" t="s">
        <v>38</v>
      </c>
      <c r="E24" s="46" t="s">
        <v>38</v>
      </c>
      <c r="F24" s="46" t="s">
        <v>39</v>
      </c>
      <c r="G24" s="47"/>
      <c r="H24" s="46" t="s">
        <v>39</v>
      </c>
      <c r="I24" s="47"/>
      <c r="J24" s="3"/>
      <c r="K24" s="3"/>
      <c r="L24" s="3"/>
      <c r="M24" s="3"/>
      <c r="N24" s="3"/>
      <c r="O24" s="3"/>
      <c r="P24" s="3"/>
      <c r="Q24" s="3"/>
    </row>
    <row r="25">
      <c r="A25" s="48"/>
      <c r="B25" s="48"/>
      <c r="C25" s="49"/>
      <c r="D25" s="48"/>
      <c r="E25" s="48"/>
      <c r="F25" s="50"/>
      <c r="G25" s="51"/>
      <c r="H25" s="52">
        <f>C31+F31</f>
        <v>0</v>
      </c>
      <c r="I25" s="53">
        <v>2.0</v>
      </c>
      <c r="J25" s="3"/>
      <c r="K25" s="3"/>
      <c r="L25" s="3"/>
      <c r="M25" s="3"/>
      <c r="N25" s="3"/>
      <c r="O25" s="3"/>
      <c r="P25" s="3"/>
      <c r="Q25" s="3"/>
    </row>
    <row r="26">
      <c r="A26" s="48"/>
      <c r="B26" s="48"/>
      <c r="D26" s="48"/>
      <c r="E26" s="48"/>
      <c r="G26" s="51"/>
      <c r="J26" s="3"/>
      <c r="K26" s="3"/>
      <c r="L26" s="3"/>
      <c r="M26" s="3"/>
      <c r="N26" s="3"/>
      <c r="O26" s="3"/>
      <c r="P26" s="3"/>
      <c r="Q26" s="3"/>
    </row>
    <row r="27">
      <c r="A27" s="48"/>
      <c r="B27" s="48"/>
      <c r="D27" s="48"/>
      <c r="E27" s="48"/>
      <c r="G27" s="51"/>
      <c r="J27" s="3"/>
      <c r="K27" s="3"/>
      <c r="L27" s="3"/>
      <c r="M27" s="3"/>
      <c r="N27" s="3"/>
      <c r="O27" s="3"/>
      <c r="P27" s="3"/>
      <c r="Q27" s="3"/>
    </row>
    <row r="28">
      <c r="A28" s="48"/>
      <c r="B28" s="48"/>
      <c r="D28" s="48"/>
      <c r="E28" s="48"/>
      <c r="G28" s="51"/>
      <c r="J28" s="3"/>
      <c r="K28" s="3"/>
      <c r="L28" s="3"/>
      <c r="M28" s="3"/>
      <c r="N28" s="3"/>
      <c r="O28" s="3"/>
      <c r="P28" s="3"/>
      <c r="Q28" s="3"/>
    </row>
    <row r="29">
      <c r="A29" s="48"/>
      <c r="B29" s="48"/>
      <c r="D29" s="48"/>
      <c r="E29" s="48"/>
      <c r="G29" s="51"/>
      <c r="J29" s="3"/>
      <c r="K29" s="3"/>
      <c r="L29" s="3"/>
      <c r="M29" s="3"/>
      <c r="N29" s="3"/>
      <c r="O29" s="3"/>
      <c r="P29" s="3"/>
      <c r="Q29" s="3"/>
    </row>
    <row r="30">
      <c r="A30" s="48"/>
      <c r="B30" s="48"/>
      <c r="D30" s="48"/>
      <c r="E30" s="48"/>
      <c r="G30" s="54"/>
      <c r="I30" s="55"/>
      <c r="J30" s="3"/>
      <c r="K30" s="3"/>
      <c r="L30" s="3"/>
      <c r="M30" s="3"/>
      <c r="N30" s="3"/>
      <c r="O30" s="3"/>
      <c r="P30" s="3"/>
      <c r="Q30" s="3"/>
    </row>
    <row r="31">
      <c r="A31" s="56"/>
      <c r="B31" s="57"/>
      <c r="C31" s="58">
        <f>SUM(C25:C30)</f>
        <v>0</v>
      </c>
      <c r="D31" s="59"/>
      <c r="E31" s="59"/>
      <c r="F31" s="60">
        <f>SUM(F25:F30)</f>
        <v>0</v>
      </c>
      <c r="G31" s="56"/>
      <c r="H31" s="59"/>
      <c r="I31" s="56"/>
      <c r="J31" s="3"/>
      <c r="K31" s="3"/>
      <c r="L31" s="3"/>
      <c r="M31" s="3"/>
      <c r="N31" s="3"/>
      <c r="O31" s="3"/>
      <c r="P31" s="3"/>
      <c r="Q31" s="3"/>
    </row>
    <row r="32">
      <c r="A32" s="11"/>
      <c r="J32" s="3"/>
      <c r="K32" s="3"/>
      <c r="L32" s="3"/>
      <c r="M32" s="3"/>
      <c r="N32" s="3"/>
      <c r="O32" s="3"/>
      <c r="P32" s="3"/>
      <c r="Q32" s="3"/>
    </row>
  </sheetData>
  <mergeCells count="22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A14:I14"/>
    <mergeCell ref="F16:F21"/>
    <mergeCell ref="F25:F30"/>
    <mergeCell ref="H25:H30"/>
    <mergeCell ref="I25:I29"/>
    <mergeCell ref="C10:D11"/>
    <mergeCell ref="A12:D12"/>
    <mergeCell ref="C16:C21"/>
    <mergeCell ref="H16:H21"/>
    <mergeCell ref="I16:I20"/>
    <mergeCell ref="A23:I23"/>
    <mergeCell ref="C25:C30"/>
    <mergeCell ref="A32:I32"/>
  </mergeCells>
  <drawing r:id="rId1"/>
</worksheet>
</file>