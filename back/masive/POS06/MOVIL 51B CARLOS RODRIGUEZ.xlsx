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<sst xmlns="http://schemas.openxmlformats.org/spreadsheetml/2006/main" count="82" uniqueCount="40">
  <si>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</si>
  <si>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</si>
  <si>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</si>
  <si>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</si>
  <si>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</si>
  <si>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</si>
  <si>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</si>
  <si>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</si>
  <si>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A21977</t>
  </si>
  <si>
    <t xml:space="preserve">BOXER</t>
  </si>
  <si>
    <t xml:space="preserve">BAJAJ</t>
  </si>
  <si>
    <t xml:space="preserve">RM655H</t>
  </si>
  <si>
    <t xml:space="preserve">51B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</si>
  <si>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</si>
  <si>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</si>
  <si>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</si>
  <si>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</si>
  <si>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</si>
  <si>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</si>
  <si>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</si>
  <si>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</si>
  <si>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</si>
  <si>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</si>
  <si>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PPT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</si>
  <si>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</si>
  <si>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</si>
  <si>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</si>
  <si>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</si>
  <si>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</si>
  <si>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CARLOS</t>
  </si>
  <si>
    <t xml:space="preserve">RODRIGUEZ</t>
  </si>
  <si>
    <t xml:space="preserve">VENEZOLANA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</si>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</sst>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4"/>
      <color rgb="FF000000"/>
      <name val="Nunito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34A853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B7B7B7"/>
        <bgColor rgb="FF999999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4A853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FF6D01"/>
      </patternFill>
    </fill>
    <fill>
      <patternFill patternType="solid">
        <fgColor rgb="FFFF0000"/>
        <bgColor rgb="FFEA4335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434343"/>
      </patternFill>
    </fill>
    <fill>
      <patternFill patternType="solid">
        <fgColor rgb="FF434343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8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1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8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72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2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5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66"/>
      <rgbColor rgb="FF999999"/>
      <rgbColor rgb="FF134F5C"/>
      <rgbColor rgb="FF34A853"/>
      <rgbColor rgb="FF003300"/>
      <rgbColor rgb="FF333300"/>
      <rgbColor rgb="FF993300"/>
      <rgbColor rgb="FF993366"/>
      <rgbColor rgb="FF1155CC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121680</xdr:colOff>
      <xdr:row>0</xdr:row>
      <xdr:rowOff>0</xdr:rowOff>
    </xdr:from>
    <xdr:to>
      <xdr:col>9</xdr:col>
      <xdr:colOff>221040</xdr:colOff>
      <xdr:row>14</xdr:row>
      <xdr:rowOff>75600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9903240" y="0"/>
          <a:ext cx="1800000" cy="28760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5" activeCellId="0" sqref="A1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.63"/>
    <col collapsed="false" customWidth="true" hidden="false" outlineLevel="0" max="3" min="3" style="0" width="16.12"/>
    <col collapsed="false" customWidth="true" hidden="false" outlineLevel="0" max="4" min="4" style="0" width="16.25"/>
    <col collapsed="false" customWidth="true" hidden="false" outlineLevel="0" max="5" min="5" style="0" width="15.88"/>
    <col collapsed="false" customWidth="true" hidden="false" outlineLevel="0" max="6" min="6" style="0" width="18.25"/>
    <col collapsed="false" customWidth="true" hidden="false" outlineLevel="0" max="7" min="7" style="0" width="19.25"/>
    <col collapsed="false" customWidth="true" hidden="false" outlineLevel="0" max="8" min="8" style="0" width="21.38"/>
    <col collapsed="false" customWidth="true" hidden="false" outlineLevel="0" max="9" min="9" style="0" width="24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5" t="n">
        <v>2027</v>
      </c>
      <c r="D2" s="4" t="s">
        <v>10</v>
      </c>
      <c r="E2" s="6" t="s">
        <v>11</v>
      </c>
      <c r="F2" s="7" t="s">
        <v>12</v>
      </c>
      <c r="G2" s="8" t="n">
        <v>6800000</v>
      </c>
      <c r="H2" s="8" t="n">
        <v>800000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2" t="n">
        <f aca="false">G2-H2</f>
        <v>6000000</v>
      </c>
      <c r="B5" s="12" t="n">
        <v>2.6734</v>
      </c>
      <c r="C5" s="13" t="n">
        <f aca="false">A5*B5</f>
        <v>16040400</v>
      </c>
      <c r="D5" s="14" t="n">
        <v>18</v>
      </c>
      <c r="E5" s="15" t="n">
        <f aca="false">C5/D5</f>
        <v>891133.3333</v>
      </c>
      <c r="F5" s="16" t="n">
        <f aca="false">E5/2</f>
        <v>445566.6667</v>
      </c>
      <c r="G5" s="15" t="n">
        <f aca="false">E5/4</f>
        <v>222783.3333</v>
      </c>
      <c r="H5" s="15" t="n">
        <f aca="false">G5/6</f>
        <v>37130.55556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7" t="s">
        <v>21</v>
      </c>
      <c r="B6" s="17" t="s">
        <v>22</v>
      </c>
      <c r="C6" s="17" t="s">
        <v>23</v>
      </c>
      <c r="D6" s="17" t="s">
        <v>24</v>
      </c>
      <c r="E6" s="17" t="s">
        <v>25</v>
      </c>
      <c r="F6" s="18" t="s">
        <v>26</v>
      </c>
      <c r="G6" s="19" t="s">
        <v>27</v>
      </c>
      <c r="H6" s="19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0" t="s">
        <v>29</v>
      </c>
      <c r="B7" s="20" t="s">
        <v>30</v>
      </c>
      <c r="C7" s="20" t="n">
        <v>5899184</v>
      </c>
      <c r="D7" s="20" t="s">
        <v>31</v>
      </c>
      <c r="E7" s="21" t="n">
        <v>3238437068</v>
      </c>
      <c r="F7" s="22" t="s">
        <v>32</v>
      </c>
      <c r="G7" s="22" t="s">
        <v>32</v>
      </c>
      <c r="H7" s="23" t="n">
        <v>0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4"/>
      <c r="B8" s="24"/>
      <c r="C8" s="24"/>
      <c r="D8" s="24"/>
      <c r="E8" s="25"/>
      <c r="F8" s="26"/>
      <c r="G8" s="27"/>
      <c r="H8" s="28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9" t="s">
        <v>33</v>
      </c>
      <c r="B9" s="29"/>
      <c r="C9" s="30" t="s">
        <v>34</v>
      </c>
      <c r="D9" s="30"/>
      <c r="E9" s="31" t="s">
        <v>35</v>
      </c>
      <c r="F9" s="31"/>
      <c r="G9" s="32" t="s">
        <v>36</v>
      </c>
      <c r="H9" s="33" t="s">
        <v>16</v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4" t="n">
        <f aca="false">H16+H27+H38+H49+H60+H71</f>
        <v>3609300</v>
      </c>
      <c r="B10" s="34"/>
      <c r="C10" s="35" t="n">
        <f aca="false">C5-A10</f>
        <v>12431100</v>
      </c>
      <c r="D10" s="35"/>
      <c r="E10" s="36" t="n">
        <f aca="false">C10+G10</f>
        <v>12431100</v>
      </c>
      <c r="F10" s="36"/>
      <c r="G10" s="37"/>
      <c r="H10" s="33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4"/>
      <c r="B11" s="34"/>
      <c r="C11" s="35"/>
      <c r="D11" s="35"/>
      <c r="E11" s="36"/>
      <c r="F11" s="36"/>
      <c r="G11" s="37"/>
      <c r="H11" s="38" t="n">
        <f aca="false">I21+I32+I43+I54+I65+I76</f>
        <v>5</v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9" t="s">
        <v>37</v>
      </c>
      <c r="B12" s="39"/>
      <c r="C12" s="39"/>
      <c r="D12" s="39"/>
      <c r="E12" s="40"/>
      <c r="F12" s="40"/>
      <c r="G12" s="41"/>
      <c r="H12" s="38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8" hidden="false" customHeight="false" outlineLevel="0" collapsed="false">
      <c r="A15" s="42" t="s">
        <v>38</v>
      </c>
      <c r="B15" s="42" t="s">
        <v>38</v>
      </c>
      <c r="C15" s="42" t="s">
        <v>38</v>
      </c>
      <c r="D15" s="42" t="s">
        <v>39</v>
      </c>
      <c r="E15" s="42" t="s">
        <v>38</v>
      </c>
      <c r="F15" s="42" t="s">
        <v>39</v>
      </c>
      <c r="G15" s="42" t="s">
        <v>38</v>
      </c>
      <c r="H15" s="42"/>
      <c r="I15" s="4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44"/>
      <c r="B16" s="44" t="n">
        <v>46041</v>
      </c>
      <c r="C16" s="44" t="n">
        <v>46048</v>
      </c>
      <c r="D16" s="45" t="n">
        <v>445556</v>
      </c>
      <c r="G16" s="46"/>
      <c r="H16" s="47" t="n">
        <f aca="false">D22</f>
        <v>445556</v>
      </c>
      <c r="I16" s="48" t="n">
        <v>1</v>
      </c>
      <c r="J16" s="49"/>
      <c r="K16" s="49"/>
      <c r="L16" s="49"/>
      <c r="M16" s="49"/>
      <c r="N16" s="49"/>
      <c r="O16" s="49"/>
      <c r="P16" s="49"/>
      <c r="Q16" s="49"/>
      <c r="R16" s="49"/>
      <c r="S16" s="3"/>
      <c r="T16" s="3"/>
      <c r="U16" s="3"/>
      <c r="V16" s="3"/>
      <c r="W16" s="3"/>
      <c r="X16" s="3"/>
      <c r="Y16" s="3"/>
      <c r="Z16" s="3"/>
    </row>
    <row r="17" customFormat="false" ht="13.8" hidden="false" customHeight="false" outlineLevel="0" collapsed="false">
      <c r="A17" s="44"/>
      <c r="B17" s="44" t="n">
        <v>46042</v>
      </c>
      <c r="C17" s="44" t="n">
        <v>46049</v>
      </c>
      <c r="D17" s="45"/>
      <c r="G17" s="46"/>
      <c r="H17" s="47"/>
      <c r="I17" s="47"/>
      <c r="J17" s="49"/>
      <c r="K17" s="49"/>
      <c r="L17" s="49"/>
      <c r="M17" s="49"/>
      <c r="N17" s="49"/>
      <c r="O17" s="49"/>
      <c r="P17" s="49"/>
      <c r="Q17" s="49"/>
      <c r="R17" s="49"/>
      <c r="S17" s="3"/>
      <c r="T17" s="3"/>
      <c r="U17" s="3"/>
      <c r="V17" s="3"/>
      <c r="W17" s="3"/>
      <c r="X17" s="3"/>
      <c r="Y17" s="3"/>
      <c r="Z17" s="3"/>
    </row>
    <row r="18" customFormat="false" ht="13.8" hidden="false" customHeight="false" outlineLevel="0" collapsed="false">
      <c r="A18" s="44"/>
      <c r="B18" s="44" t="n">
        <v>46043</v>
      </c>
      <c r="C18" s="44" t="n">
        <v>46050</v>
      </c>
      <c r="D18" s="45"/>
      <c r="G18" s="46"/>
      <c r="H18" s="47"/>
      <c r="I18" s="47"/>
      <c r="J18" s="49"/>
      <c r="K18" s="49"/>
      <c r="L18" s="49"/>
      <c r="M18" s="49"/>
      <c r="N18" s="49"/>
      <c r="O18" s="49"/>
      <c r="P18" s="49"/>
      <c r="Q18" s="49"/>
      <c r="R18" s="49"/>
      <c r="S18" s="3"/>
      <c r="T18" s="3"/>
      <c r="U18" s="3"/>
      <c r="V18" s="3"/>
      <c r="W18" s="3"/>
      <c r="X18" s="3"/>
      <c r="Y18" s="3"/>
      <c r="Z18" s="3"/>
    </row>
    <row r="19" customFormat="false" ht="13.8" hidden="false" customHeight="false" outlineLevel="0" collapsed="false">
      <c r="A19" s="44" t="n">
        <v>46037</v>
      </c>
      <c r="B19" s="44" t="n">
        <v>46044</v>
      </c>
      <c r="C19" s="44" t="n">
        <v>46051</v>
      </c>
      <c r="D19" s="45"/>
      <c r="G19" s="46"/>
      <c r="H19" s="47"/>
      <c r="I19" s="47"/>
      <c r="J19" s="49"/>
      <c r="K19" s="49"/>
      <c r="L19" s="49"/>
      <c r="M19" s="49"/>
      <c r="N19" s="49"/>
      <c r="O19" s="49"/>
      <c r="P19" s="49"/>
      <c r="Q19" s="49"/>
      <c r="R19" s="49"/>
      <c r="S19" s="3"/>
      <c r="T19" s="3"/>
      <c r="U19" s="3"/>
      <c r="V19" s="3"/>
      <c r="W19" s="3"/>
      <c r="X19" s="3"/>
      <c r="Y19" s="3"/>
      <c r="Z19" s="3"/>
    </row>
    <row r="20" customFormat="false" ht="13.8" hidden="false" customHeight="false" outlineLevel="0" collapsed="false">
      <c r="A20" s="44" t="n">
        <v>46038</v>
      </c>
      <c r="B20" s="44" t="n">
        <v>46045</v>
      </c>
      <c r="C20" s="44" t="n">
        <v>46052</v>
      </c>
      <c r="D20" s="45"/>
      <c r="G20" s="46"/>
      <c r="H20" s="47"/>
      <c r="I20" s="47"/>
      <c r="J20" s="49"/>
      <c r="K20" s="49"/>
      <c r="L20" s="49"/>
      <c r="M20" s="49"/>
      <c r="N20" s="49"/>
      <c r="O20" s="49"/>
      <c r="P20" s="49"/>
      <c r="Q20" s="49"/>
      <c r="R20" s="49"/>
      <c r="S20" s="3"/>
      <c r="T20" s="3"/>
      <c r="U20" s="3"/>
      <c r="V20" s="3"/>
      <c r="W20" s="3"/>
      <c r="X20" s="3"/>
      <c r="Y20" s="3"/>
      <c r="Z20" s="3"/>
    </row>
    <row r="21" customFormat="false" ht="13.8" hidden="false" customHeight="false" outlineLevel="0" collapsed="false">
      <c r="A21" s="44" t="n">
        <v>46039</v>
      </c>
      <c r="B21" s="44" t="n">
        <v>46046</v>
      </c>
      <c r="C21" s="44" t="n">
        <v>46053</v>
      </c>
      <c r="D21" s="45"/>
      <c r="G21" s="46"/>
      <c r="H21" s="47"/>
      <c r="I21" s="50" t="n">
        <v>1</v>
      </c>
      <c r="J21" s="49"/>
      <c r="K21" s="49"/>
      <c r="L21" s="49"/>
      <c r="M21" s="49"/>
      <c r="N21" s="49"/>
      <c r="O21" s="49"/>
      <c r="P21" s="49"/>
      <c r="Q21" s="49"/>
      <c r="R21" s="49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1"/>
      <c r="B22" s="52"/>
      <c r="C22" s="53"/>
      <c r="D22" s="54" t="n">
        <f aca="false">SUM(D16:F21)</f>
        <v>445556</v>
      </c>
      <c r="E22" s="54"/>
      <c r="F22" s="54"/>
      <c r="G22" s="51"/>
      <c r="H22" s="55"/>
      <c r="I22" s="51"/>
      <c r="J22" s="49"/>
      <c r="K22" s="49"/>
      <c r="L22" s="49"/>
      <c r="M22" s="49"/>
      <c r="N22" s="49"/>
      <c r="O22" s="49"/>
      <c r="P22" s="49"/>
      <c r="Q22" s="49"/>
      <c r="R22" s="49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56"/>
      <c r="B23" s="56"/>
      <c r="C23" s="56"/>
      <c r="D23" s="56"/>
      <c r="E23" s="56"/>
      <c r="F23" s="56"/>
      <c r="G23" s="56"/>
      <c r="H23" s="56"/>
      <c r="I23" s="56"/>
      <c r="J23" s="49"/>
      <c r="K23" s="49"/>
      <c r="L23" s="49"/>
      <c r="M23" s="49"/>
      <c r="N23" s="49"/>
      <c r="O23" s="49"/>
      <c r="P23" s="49"/>
      <c r="Q23" s="49"/>
      <c r="R23" s="49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57"/>
      <c r="B24" s="57"/>
      <c r="C24" s="57"/>
      <c r="D24" s="57"/>
      <c r="E24" s="57"/>
      <c r="F24" s="57"/>
      <c r="G24" s="57"/>
      <c r="H24" s="57"/>
      <c r="I24" s="5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3.8" hidden="false" customHeight="false" outlineLevel="0" collapsed="false">
      <c r="A26" s="42" t="s">
        <v>38</v>
      </c>
      <c r="B26" s="42" t="s">
        <v>38</v>
      </c>
      <c r="C26" s="42" t="s">
        <v>39</v>
      </c>
      <c r="D26" s="42" t="s">
        <v>38</v>
      </c>
      <c r="E26" s="42" t="s">
        <v>38</v>
      </c>
      <c r="F26" s="42" t="s">
        <v>39</v>
      </c>
      <c r="G26" s="42" t="s">
        <v>38</v>
      </c>
      <c r="H26" s="42"/>
      <c r="I26" s="4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58" t="n">
        <v>46055</v>
      </c>
      <c r="B27" s="44" t="n">
        <v>46062</v>
      </c>
      <c r="C27" s="45" t="n">
        <v>455556</v>
      </c>
      <c r="D27" s="58" t="n">
        <v>46069</v>
      </c>
      <c r="E27" s="44" t="n">
        <v>46076</v>
      </c>
      <c r="F27" s="45" t="n">
        <v>435556</v>
      </c>
      <c r="G27" s="46"/>
      <c r="H27" s="47" t="n">
        <f aca="false">C33+F33</f>
        <v>891112</v>
      </c>
      <c r="I27" s="48" t="n">
        <v>2</v>
      </c>
      <c r="J27" s="49"/>
      <c r="K27" s="49"/>
      <c r="L27" s="49"/>
      <c r="M27" s="49"/>
      <c r="N27" s="49"/>
      <c r="O27" s="49"/>
      <c r="P27" s="49"/>
      <c r="Q27" s="49"/>
      <c r="R27" s="49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4" t="n">
        <v>46056</v>
      </c>
      <c r="B28" s="44" t="n">
        <v>46063</v>
      </c>
      <c r="C28" s="45"/>
      <c r="D28" s="44" t="n">
        <v>46070</v>
      </c>
      <c r="E28" s="44" t="n">
        <v>46077</v>
      </c>
      <c r="F28" s="45"/>
      <c r="G28" s="46"/>
      <c r="H28" s="47"/>
      <c r="I28" s="47"/>
      <c r="J28" s="49"/>
      <c r="K28" s="49"/>
      <c r="L28" s="49"/>
      <c r="M28" s="49"/>
      <c r="N28" s="49"/>
      <c r="O28" s="49"/>
      <c r="P28" s="49"/>
      <c r="Q28" s="49"/>
      <c r="R28" s="49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4" t="n">
        <v>46057</v>
      </c>
      <c r="B29" s="44" t="n">
        <v>46064</v>
      </c>
      <c r="C29" s="45"/>
      <c r="D29" s="44" t="n">
        <v>46071</v>
      </c>
      <c r="E29" s="44" t="n">
        <v>46078</v>
      </c>
      <c r="F29" s="45"/>
      <c r="G29" s="46"/>
      <c r="H29" s="47"/>
      <c r="I29" s="47"/>
      <c r="J29" s="49"/>
      <c r="K29" s="49"/>
      <c r="L29" s="49"/>
      <c r="M29" s="49"/>
      <c r="N29" s="49"/>
      <c r="O29" s="49"/>
      <c r="P29" s="49"/>
      <c r="Q29" s="49"/>
      <c r="R29" s="49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4" t="n">
        <v>46058</v>
      </c>
      <c r="B30" s="44" t="n">
        <v>46065</v>
      </c>
      <c r="C30" s="45"/>
      <c r="D30" s="44" t="n">
        <v>46072</v>
      </c>
      <c r="E30" s="44" t="n">
        <v>46079</v>
      </c>
      <c r="F30" s="45"/>
      <c r="G30" s="46"/>
      <c r="H30" s="47"/>
      <c r="I30" s="47"/>
      <c r="J30" s="49"/>
      <c r="K30" s="49"/>
      <c r="L30" s="49"/>
      <c r="M30" s="49"/>
      <c r="N30" s="49"/>
      <c r="O30" s="49"/>
      <c r="P30" s="49"/>
      <c r="Q30" s="49"/>
      <c r="R30" s="49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44" t="n">
        <v>46059</v>
      </c>
      <c r="B31" s="44" t="n">
        <v>46066</v>
      </c>
      <c r="C31" s="45"/>
      <c r="D31" s="44" t="n">
        <v>46073</v>
      </c>
      <c r="E31" s="44" t="n">
        <v>46080</v>
      </c>
      <c r="F31" s="45"/>
      <c r="G31" s="46"/>
      <c r="H31" s="47"/>
      <c r="I31" s="47"/>
      <c r="J31" s="49"/>
      <c r="K31" s="49"/>
      <c r="L31" s="49"/>
      <c r="M31" s="49"/>
      <c r="N31" s="49"/>
      <c r="O31" s="49"/>
      <c r="P31" s="49"/>
      <c r="Q31" s="49"/>
      <c r="R31" s="49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4" t="n">
        <v>46060</v>
      </c>
      <c r="B32" s="44" t="n">
        <v>46067</v>
      </c>
      <c r="C32" s="45"/>
      <c r="D32" s="44" t="n">
        <v>46074</v>
      </c>
      <c r="E32" s="44" t="n">
        <v>46081</v>
      </c>
      <c r="F32" s="45"/>
      <c r="G32" s="46"/>
      <c r="H32" s="47"/>
      <c r="I32" s="50" t="n">
        <v>1</v>
      </c>
      <c r="J32" s="49"/>
      <c r="K32" s="49"/>
      <c r="L32" s="49"/>
      <c r="M32" s="49"/>
      <c r="N32" s="49"/>
      <c r="O32" s="49"/>
      <c r="P32" s="49"/>
      <c r="Q32" s="49"/>
      <c r="R32" s="49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51"/>
      <c r="B33" s="52"/>
      <c r="C33" s="53" t="n">
        <f aca="false">SUM(C27:C32)</f>
        <v>455556</v>
      </c>
      <c r="D33" s="55"/>
      <c r="E33" s="55"/>
      <c r="F33" s="59" t="n">
        <f aca="false">SUM(F27:F32)</f>
        <v>435556</v>
      </c>
      <c r="G33" s="51"/>
      <c r="H33" s="55"/>
      <c r="I33" s="51"/>
      <c r="J33" s="49"/>
      <c r="K33" s="49"/>
      <c r="L33" s="49"/>
      <c r="M33" s="49"/>
      <c r="N33" s="49"/>
      <c r="O33" s="49"/>
      <c r="P33" s="49"/>
      <c r="Q33" s="49"/>
      <c r="R33" s="49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56"/>
      <c r="B34" s="56"/>
      <c r="C34" s="56"/>
      <c r="D34" s="56"/>
      <c r="E34" s="56"/>
      <c r="F34" s="56"/>
      <c r="G34" s="56"/>
      <c r="H34" s="56"/>
      <c r="I34" s="56"/>
      <c r="J34" s="49"/>
      <c r="K34" s="49"/>
      <c r="L34" s="49"/>
      <c r="M34" s="49"/>
      <c r="N34" s="49"/>
      <c r="O34" s="49"/>
      <c r="P34" s="49"/>
      <c r="Q34" s="49"/>
      <c r="R34" s="49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57"/>
      <c r="B35" s="57"/>
      <c r="C35" s="57"/>
      <c r="D35" s="57"/>
      <c r="E35" s="57"/>
      <c r="F35" s="57"/>
      <c r="G35" s="57"/>
      <c r="H35" s="57"/>
      <c r="I35" s="5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3.8" hidden="false" customHeight="false" outlineLevel="0" collapsed="false">
      <c r="A37" s="42" t="s">
        <v>38</v>
      </c>
      <c r="B37" s="42" t="s">
        <v>38</v>
      </c>
      <c r="C37" s="42" t="s">
        <v>39</v>
      </c>
      <c r="D37" s="42" t="s">
        <v>38</v>
      </c>
      <c r="E37" s="42" t="s">
        <v>38</v>
      </c>
      <c r="F37" s="42" t="s">
        <v>39</v>
      </c>
      <c r="G37" s="42" t="s">
        <v>38</v>
      </c>
      <c r="H37" s="42"/>
      <c r="I37" s="4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58" t="n">
        <v>46083</v>
      </c>
      <c r="B38" s="44" t="n">
        <v>46090</v>
      </c>
      <c r="C38" s="45" t="n">
        <v>445556</v>
      </c>
      <c r="D38" s="58" t="n">
        <v>46097</v>
      </c>
      <c r="E38" s="44" t="n">
        <v>46104</v>
      </c>
      <c r="F38" s="45" t="n">
        <v>470556</v>
      </c>
      <c r="G38" s="46"/>
      <c r="H38" s="47" t="n">
        <f aca="false">C44+F44</f>
        <v>916112</v>
      </c>
      <c r="I38" s="48" t="n">
        <v>3</v>
      </c>
      <c r="J38" s="49"/>
      <c r="K38" s="49"/>
      <c r="L38" s="49"/>
      <c r="M38" s="49"/>
      <c r="N38" s="49"/>
      <c r="O38" s="49"/>
      <c r="P38" s="49"/>
      <c r="Q38" s="49"/>
      <c r="R38" s="49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4" t="n">
        <v>46084</v>
      </c>
      <c r="B39" s="44" t="n">
        <v>46091</v>
      </c>
      <c r="C39" s="45"/>
      <c r="D39" s="44" t="n">
        <v>46098</v>
      </c>
      <c r="E39" s="44" t="n">
        <v>46105</v>
      </c>
      <c r="F39" s="45"/>
      <c r="G39" s="46"/>
      <c r="H39" s="47"/>
      <c r="I39" s="47"/>
      <c r="J39" s="49"/>
      <c r="K39" s="49"/>
      <c r="L39" s="49"/>
      <c r="M39" s="49"/>
      <c r="N39" s="49"/>
      <c r="O39" s="49"/>
      <c r="P39" s="49"/>
      <c r="Q39" s="49"/>
      <c r="R39" s="49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44" t="n">
        <v>46085</v>
      </c>
      <c r="B40" s="44" t="n">
        <v>46092</v>
      </c>
      <c r="C40" s="45"/>
      <c r="D40" s="44" t="n">
        <v>46099</v>
      </c>
      <c r="E40" s="44" t="n">
        <v>46106</v>
      </c>
      <c r="F40" s="45"/>
      <c r="G40" s="46"/>
      <c r="H40" s="47"/>
      <c r="I40" s="47"/>
      <c r="J40" s="49"/>
      <c r="K40" s="49"/>
      <c r="L40" s="49"/>
      <c r="M40" s="49"/>
      <c r="N40" s="49"/>
      <c r="O40" s="49"/>
      <c r="P40" s="49"/>
      <c r="Q40" s="49"/>
      <c r="R40" s="49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44" t="n">
        <v>46086</v>
      </c>
      <c r="B41" s="44" t="n">
        <v>46093</v>
      </c>
      <c r="C41" s="45"/>
      <c r="D41" s="44" t="n">
        <v>46100</v>
      </c>
      <c r="E41" s="44" t="n">
        <v>46107</v>
      </c>
      <c r="F41" s="45"/>
      <c r="G41" s="46"/>
      <c r="H41" s="47"/>
      <c r="I41" s="47"/>
      <c r="J41" s="49"/>
      <c r="K41" s="49"/>
      <c r="L41" s="49"/>
      <c r="M41" s="49"/>
      <c r="N41" s="49"/>
      <c r="O41" s="49"/>
      <c r="P41" s="49"/>
      <c r="Q41" s="49"/>
      <c r="R41" s="49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44" t="n">
        <v>46087</v>
      </c>
      <c r="B42" s="44" t="n">
        <v>46094</v>
      </c>
      <c r="C42" s="45"/>
      <c r="D42" s="44" t="n">
        <v>46101</v>
      </c>
      <c r="E42" s="44" t="n">
        <v>46108</v>
      </c>
      <c r="F42" s="45"/>
      <c r="G42" s="46"/>
      <c r="H42" s="47"/>
      <c r="I42" s="47"/>
      <c r="J42" s="49"/>
      <c r="K42" s="49"/>
      <c r="L42" s="49"/>
      <c r="M42" s="49"/>
      <c r="N42" s="49"/>
      <c r="O42" s="49"/>
      <c r="P42" s="49"/>
      <c r="Q42" s="49"/>
      <c r="R42" s="49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44" t="n">
        <v>46088</v>
      </c>
      <c r="B43" s="44" t="n">
        <v>46095</v>
      </c>
      <c r="C43" s="45"/>
      <c r="D43" s="44" t="n">
        <v>46102</v>
      </c>
      <c r="E43" s="44" t="n">
        <v>46109</v>
      </c>
      <c r="F43" s="45"/>
      <c r="G43" s="46"/>
      <c r="H43" s="47"/>
      <c r="I43" s="50" t="n">
        <v>1</v>
      </c>
      <c r="J43" s="49"/>
      <c r="K43" s="49"/>
      <c r="L43" s="49"/>
      <c r="M43" s="49"/>
      <c r="N43" s="49"/>
      <c r="O43" s="49"/>
      <c r="P43" s="49"/>
      <c r="Q43" s="49"/>
      <c r="R43" s="49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51"/>
      <c r="B44" s="52"/>
      <c r="C44" s="53" t="n">
        <f aca="false">SUM(C38:C43)</f>
        <v>445556</v>
      </c>
      <c r="D44" s="55"/>
      <c r="E44" s="55"/>
      <c r="F44" s="59" t="n">
        <f aca="false">SUM(F38:F43)</f>
        <v>470556</v>
      </c>
      <c r="G44" s="51"/>
      <c r="H44" s="55"/>
      <c r="I44" s="51"/>
      <c r="J44" s="49"/>
      <c r="K44" s="49"/>
      <c r="L44" s="49"/>
      <c r="M44" s="49"/>
      <c r="N44" s="49"/>
      <c r="O44" s="49"/>
      <c r="P44" s="49"/>
      <c r="Q44" s="49"/>
      <c r="R44" s="49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56"/>
      <c r="B45" s="56"/>
      <c r="C45" s="56"/>
      <c r="D45" s="56"/>
      <c r="E45" s="56"/>
      <c r="F45" s="56"/>
      <c r="G45" s="56"/>
      <c r="H45" s="56"/>
      <c r="I45" s="56"/>
      <c r="J45" s="49"/>
      <c r="K45" s="49"/>
      <c r="L45" s="49"/>
      <c r="M45" s="49"/>
      <c r="N45" s="49"/>
      <c r="O45" s="49"/>
      <c r="P45" s="49"/>
      <c r="Q45" s="49"/>
      <c r="R45" s="49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8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3.8" hidden="false" customHeight="false" outlineLevel="0" collapsed="false">
      <c r="A48" s="42" t="s">
        <v>38</v>
      </c>
      <c r="B48" s="42" t="s">
        <v>38</v>
      </c>
      <c r="C48" s="42" t="s">
        <v>39</v>
      </c>
      <c r="D48" s="42" t="s">
        <v>38</v>
      </c>
      <c r="E48" s="42" t="s">
        <v>38</v>
      </c>
      <c r="F48" s="42" t="s">
        <v>39</v>
      </c>
      <c r="G48" s="42" t="s">
        <v>38</v>
      </c>
      <c r="H48" s="42"/>
      <c r="I48" s="4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58" t="n">
        <v>46111</v>
      </c>
      <c r="B49" s="44" t="n">
        <v>46118</v>
      </c>
      <c r="C49" s="45" t="n">
        <v>415853</v>
      </c>
      <c r="D49" s="44" t="n">
        <v>46125</v>
      </c>
      <c r="E49" s="44" t="n">
        <v>46132</v>
      </c>
      <c r="F49" s="45" t="n">
        <v>495111</v>
      </c>
      <c r="G49" s="46"/>
      <c r="H49" s="47" t="n">
        <f aca="false">C55+F55</f>
        <v>910964</v>
      </c>
      <c r="I49" s="48" t="n">
        <v>4</v>
      </c>
      <c r="J49" s="49"/>
      <c r="K49" s="49"/>
      <c r="L49" s="49"/>
      <c r="M49" s="49"/>
      <c r="N49" s="49"/>
      <c r="O49" s="49"/>
      <c r="P49" s="49"/>
      <c r="Q49" s="49"/>
      <c r="R49" s="49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44" t="n">
        <v>46112</v>
      </c>
      <c r="B50" s="44" t="n">
        <v>46119</v>
      </c>
      <c r="C50" s="45"/>
      <c r="D50" s="44" t="n">
        <v>46126</v>
      </c>
      <c r="E50" s="44" t="n">
        <v>46133</v>
      </c>
      <c r="F50" s="45"/>
      <c r="G50" s="46"/>
      <c r="H50" s="47"/>
      <c r="I50" s="47"/>
      <c r="J50" s="49"/>
      <c r="K50" s="49"/>
      <c r="L50" s="49"/>
      <c r="M50" s="49"/>
      <c r="N50" s="49"/>
      <c r="O50" s="49"/>
      <c r="P50" s="49"/>
      <c r="Q50" s="49"/>
      <c r="R50" s="49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44" t="n">
        <v>46113</v>
      </c>
      <c r="B51" s="44" t="n">
        <v>46120</v>
      </c>
      <c r="C51" s="45"/>
      <c r="D51" s="44" t="n">
        <v>46127</v>
      </c>
      <c r="E51" s="44" t="n">
        <v>46134</v>
      </c>
      <c r="F51" s="45"/>
      <c r="G51" s="46"/>
      <c r="H51" s="47"/>
      <c r="I51" s="47"/>
      <c r="J51" s="49"/>
      <c r="K51" s="49"/>
      <c r="L51" s="49"/>
      <c r="M51" s="49"/>
      <c r="N51" s="49"/>
      <c r="O51" s="49"/>
      <c r="P51" s="49"/>
      <c r="Q51" s="49"/>
      <c r="R51" s="49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44" t="n">
        <v>46114</v>
      </c>
      <c r="B52" s="44" t="n">
        <v>46121</v>
      </c>
      <c r="C52" s="45"/>
      <c r="D52" s="58" t="n">
        <v>46128</v>
      </c>
      <c r="E52" s="44" t="n">
        <v>46135</v>
      </c>
      <c r="F52" s="45"/>
      <c r="G52" s="46"/>
      <c r="H52" s="47"/>
      <c r="I52" s="47"/>
      <c r="J52" s="49"/>
      <c r="K52" s="49"/>
      <c r="L52" s="49"/>
      <c r="M52" s="49"/>
      <c r="N52" s="49"/>
      <c r="O52" s="49"/>
      <c r="P52" s="49"/>
      <c r="Q52" s="49"/>
      <c r="R52" s="49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44" t="n">
        <v>46115</v>
      </c>
      <c r="B53" s="44" t="n">
        <v>46122</v>
      </c>
      <c r="C53" s="45"/>
      <c r="D53" s="44" t="n">
        <v>46129</v>
      </c>
      <c r="E53" s="44" t="n">
        <v>46136</v>
      </c>
      <c r="F53" s="45"/>
      <c r="G53" s="46"/>
      <c r="H53" s="47"/>
      <c r="I53" s="47"/>
      <c r="J53" s="49"/>
      <c r="K53" s="49"/>
      <c r="L53" s="49"/>
      <c r="M53" s="49"/>
      <c r="N53" s="49"/>
      <c r="O53" s="49"/>
      <c r="P53" s="49"/>
      <c r="Q53" s="49"/>
      <c r="R53" s="49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44" t="n">
        <v>46116</v>
      </c>
      <c r="B54" s="44" t="n">
        <v>46123</v>
      </c>
      <c r="C54" s="45"/>
      <c r="D54" s="44" t="n">
        <v>46130</v>
      </c>
      <c r="E54" s="44" t="n">
        <v>46137</v>
      </c>
      <c r="F54" s="45"/>
      <c r="G54" s="46"/>
      <c r="H54" s="47"/>
      <c r="I54" s="50" t="n">
        <v>1</v>
      </c>
      <c r="J54" s="49"/>
      <c r="K54" s="49"/>
      <c r="L54" s="49"/>
      <c r="M54" s="49"/>
      <c r="N54" s="49"/>
      <c r="O54" s="49"/>
      <c r="P54" s="49"/>
      <c r="Q54" s="49"/>
      <c r="R54" s="49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51"/>
      <c r="B55" s="52"/>
      <c r="C55" s="53" t="n">
        <f aca="false">SUM(C49:C54)</f>
        <v>415853</v>
      </c>
      <c r="D55" s="55"/>
      <c r="E55" s="55"/>
      <c r="F55" s="59" t="n">
        <f aca="false">SUM(F49:F54)</f>
        <v>495111</v>
      </c>
      <c r="G55" s="51"/>
      <c r="H55" s="55"/>
      <c r="I55" s="51"/>
      <c r="J55" s="49"/>
      <c r="K55" s="49"/>
      <c r="L55" s="49"/>
      <c r="M55" s="49"/>
      <c r="N55" s="49"/>
      <c r="O55" s="49"/>
      <c r="P55" s="49"/>
      <c r="Q55" s="49"/>
      <c r="R55" s="49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56"/>
      <c r="B56" s="56"/>
      <c r="C56" s="56"/>
      <c r="D56" s="56"/>
      <c r="E56" s="56"/>
      <c r="F56" s="56"/>
      <c r="G56" s="56"/>
      <c r="H56" s="56"/>
      <c r="I56" s="56"/>
      <c r="J56" s="49"/>
      <c r="K56" s="49"/>
      <c r="L56" s="49"/>
      <c r="M56" s="49"/>
      <c r="N56" s="49"/>
      <c r="O56" s="49"/>
      <c r="P56" s="49"/>
      <c r="Q56" s="49"/>
      <c r="R56" s="49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57"/>
      <c r="B57" s="57"/>
      <c r="C57" s="57"/>
      <c r="D57" s="57"/>
      <c r="E57" s="57"/>
      <c r="F57" s="57"/>
      <c r="G57" s="57"/>
      <c r="H57" s="57"/>
      <c r="I57" s="5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3.8" hidden="false" customHeight="false" outlineLevel="0" collapsed="false">
      <c r="A59" s="42" t="s">
        <v>38</v>
      </c>
      <c r="B59" s="42" t="s">
        <v>38</v>
      </c>
      <c r="C59" s="42" t="s">
        <v>39</v>
      </c>
      <c r="D59" s="42" t="s">
        <v>38</v>
      </c>
      <c r="E59" s="42" t="s">
        <v>38</v>
      </c>
      <c r="F59" s="42" t="s">
        <v>39</v>
      </c>
      <c r="G59" s="42" t="s">
        <v>38</v>
      </c>
      <c r="H59" s="42"/>
      <c r="I59" s="4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44" t="n">
        <v>46139</v>
      </c>
      <c r="B60" s="58" t="n">
        <v>46146</v>
      </c>
      <c r="C60" s="45" t="n">
        <v>445556</v>
      </c>
      <c r="D60" s="44" t="n">
        <v>46153</v>
      </c>
      <c r="E60" s="44" t="n">
        <v>46160</v>
      </c>
      <c r="F60" s="45"/>
      <c r="G60" s="46"/>
      <c r="H60" s="47" t="n">
        <f aca="false">C66+F66</f>
        <v>445556</v>
      </c>
      <c r="I60" s="48" t="n">
        <v>5</v>
      </c>
      <c r="J60" s="49"/>
      <c r="K60" s="49"/>
      <c r="L60" s="49"/>
      <c r="M60" s="49"/>
      <c r="N60" s="49"/>
      <c r="O60" s="49"/>
      <c r="P60" s="49"/>
      <c r="Q60" s="49"/>
      <c r="R60" s="49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44" t="n">
        <v>46140</v>
      </c>
      <c r="B61" s="44" t="n">
        <v>46147</v>
      </c>
      <c r="C61" s="45"/>
      <c r="D61" s="44" t="n">
        <v>46154</v>
      </c>
      <c r="E61" s="44" t="n">
        <v>46161</v>
      </c>
      <c r="F61" s="45"/>
      <c r="G61" s="46"/>
      <c r="H61" s="47"/>
      <c r="I61" s="47"/>
      <c r="J61" s="49"/>
      <c r="K61" s="49"/>
      <c r="L61" s="49"/>
      <c r="M61" s="49"/>
      <c r="N61" s="49"/>
      <c r="O61" s="49"/>
      <c r="P61" s="49"/>
      <c r="Q61" s="49"/>
      <c r="R61" s="49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44" t="n">
        <v>46141</v>
      </c>
      <c r="B62" s="44" t="n">
        <v>46148</v>
      </c>
      <c r="C62" s="45"/>
      <c r="D62" s="44" t="n">
        <v>46155</v>
      </c>
      <c r="E62" s="44" t="n">
        <v>46162</v>
      </c>
      <c r="F62" s="45"/>
      <c r="G62" s="46"/>
      <c r="H62" s="47"/>
      <c r="I62" s="47"/>
      <c r="J62" s="49"/>
      <c r="K62" s="49"/>
      <c r="L62" s="49"/>
      <c r="M62" s="49"/>
      <c r="N62" s="49"/>
      <c r="O62" s="49"/>
      <c r="P62" s="49"/>
      <c r="Q62" s="49"/>
      <c r="R62" s="49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44" t="n">
        <v>46142</v>
      </c>
      <c r="B63" s="44" t="n">
        <v>46149</v>
      </c>
      <c r="C63" s="45"/>
      <c r="D63" s="44" t="n">
        <v>46156</v>
      </c>
      <c r="E63" s="44" t="n">
        <v>46163</v>
      </c>
      <c r="F63" s="45"/>
      <c r="G63" s="46"/>
      <c r="H63" s="47"/>
      <c r="I63" s="47"/>
      <c r="J63" s="49"/>
      <c r="K63" s="49"/>
      <c r="L63" s="49"/>
      <c r="M63" s="49"/>
      <c r="N63" s="49"/>
      <c r="O63" s="49"/>
      <c r="P63" s="49"/>
      <c r="Q63" s="49"/>
      <c r="R63" s="49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44" t="n">
        <v>46143</v>
      </c>
      <c r="B64" s="44" t="n">
        <v>46150</v>
      </c>
      <c r="C64" s="45"/>
      <c r="D64" s="44" t="n">
        <v>46157</v>
      </c>
      <c r="E64" s="44" t="n">
        <v>46164</v>
      </c>
      <c r="F64" s="45"/>
      <c r="G64" s="46"/>
      <c r="H64" s="47"/>
      <c r="I64" s="47"/>
      <c r="J64" s="49"/>
      <c r="K64" s="49"/>
      <c r="L64" s="49"/>
      <c r="M64" s="49"/>
      <c r="N64" s="49"/>
      <c r="O64" s="49"/>
      <c r="P64" s="49"/>
      <c r="Q64" s="49"/>
      <c r="R64" s="49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44" t="n">
        <v>46144</v>
      </c>
      <c r="B65" s="44" t="n">
        <v>46151</v>
      </c>
      <c r="C65" s="45"/>
      <c r="D65" s="58" t="n">
        <v>46158</v>
      </c>
      <c r="E65" s="44" t="n">
        <v>46165</v>
      </c>
      <c r="F65" s="45"/>
      <c r="G65" s="46"/>
      <c r="H65" s="47"/>
      <c r="I65" s="50" t="n">
        <v>1</v>
      </c>
      <c r="J65" s="49"/>
      <c r="K65" s="49"/>
      <c r="L65" s="49"/>
      <c r="M65" s="49"/>
      <c r="N65" s="49"/>
      <c r="O65" s="49"/>
      <c r="P65" s="49"/>
      <c r="Q65" s="49"/>
      <c r="R65" s="49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51"/>
      <c r="B66" s="52"/>
      <c r="C66" s="53" t="n">
        <f aca="false">SUM(C60:C65)</f>
        <v>445556</v>
      </c>
      <c r="D66" s="55"/>
      <c r="E66" s="55"/>
      <c r="F66" s="59" t="n">
        <f aca="false">SUM(F60:F65)</f>
        <v>0</v>
      </c>
      <c r="G66" s="51"/>
      <c r="H66" s="55"/>
      <c r="I66" s="51"/>
      <c r="J66" s="49"/>
      <c r="K66" s="49"/>
      <c r="L66" s="49"/>
      <c r="M66" s="49"/>
      <c r="N66" s="49"/>
      <c r="O66" s="49"/>
      <c r="P66" s="49"/>
      <c r="Q66" s="49"/>
      <c r="R66" s="49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56"/>
      <c r="B67" s="56"/>
      <c r="C67" s="56"/>
      <c r="D67" s="56"/>
      <c r="E67" s="56"/>
      <c r="F67" s="56"/>
      <c r="G67" s="56"/>
      <c r="H67" s="56"/>
      <c r="I67" s="56"/>
      <c r="J67" s="49"/>
      <c r="K67" s="49"/>
      <c r="L67" s="49"/>
      <c r="M67" s="49"/>
      <c r="N67" s="49"/>
      <c r="O67" s="49"/>
      <c r="P67" s="49"/>
      <c r="Q67" s="49"/>
      <c r="R67" s="49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57"/>
      <c r="B68" s="57"/>
      <c r="C68" s="57"/>
      <c r="D68" s="57"/>
      <c r="E68" s="57"/>
      <c r="F68" s="57"/>
      <c r="G68" s="57"/>
      <c r="H68" s="57"/>
      <c r="I68" s="5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3.8" hidden="false" customHeight="false" outlineLevel="0" collapsed="false">
      <c r="A70" s="42" t="s">
        <v>38</v>
      </c>
      <c r="B70" s="42" t="s">
        <v>38</v>
      </c>
      <c r="C70" s="42" t="s">
        <v>39</v>
      </c>
      <c r="D70" s="42" t="s">
        <v>38</v>
      </c>
      <c r="E70" s="42" t="s">
        <v>38</v>
      </c>
      <c r="F70" s="42" t="s">
        <v>39</v>
      </c>
      <c r="G70" s="42" t="s">
        <v>38</v>
      </c>
      <c r="H70" s="42"/>
      <c r="I70" s="4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44" t="n">
        <v>46167</v>
      </c>
      <c r="B71" s="44" t="n">
        <v>46174</v>
      </c>
      <c r="C71" s="45"/>
      <c r="D71" s="44" t="n">
        <v>46181</v>
      </c>
      <c r="E71" s="44" t="n">
        <v>46188</v>
      </c>
      <c r="F71" s="45"/>
      <c r="G71" s="46"/>
      <c r="H71" s="47" t="n">
        <f aca="false">C77+F77</f>
        <v>0</v>
      </c>
      <c r="I71" s="48" t="n">
        <v>6</v>
      </c>
      <c r="J71" s="49"/>
      <c r="K71" s="49"/>
      <c r="L71" s="49"/>
      <c r="M71" s="49"/>
      <c r="N71" s="49"/>
      <c r="O71" s="49"/>
      <c r="P71" s="49"/>
      <c r="Q71" s="49"/>
      <c r="R71" s="49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44" t="n">
        <v>46168</v>
      </c>
      <c r="B72" s="44" t="n">
        <v>46175</v>
      </c>
      <c r="C72" s="45"/>
      <c r="D72" s="44" t="n">
        <v>46182</v>
      </c>
      <c r="E72" s="44" t="n">
        <v>46189</v>
      </c>
      <c r="F72" s="45"/>
      <c r="G72" s="46"/>
      <c r="H72" s="47"/>
      <c r="I72" s="47"/>
      <c r="J72" s="49"/>
      <c r="K72" s="49"/>
      <c r="L72" s="49"/>
      <c r="M72" s="49"/>
      <c r="N72" s="49"/>
      <c r="O72" s="49"/>
      <c r="P72" s="49"/>
      <c r="Q72" s="49"/>
      <c r="R72" s="49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44" t="n">
        <v>46169</v>
      </c>
      <c r="B73" s="44" t="n">
        <v>46176</v>
      </c>
      <c r="C73" s="45"/>
      <c r="D73" s="44" t="n">
        <v>46183</v>
      </c>
      <c r="E73" s="44" t="n">
        <v>46190</v>
      </c>
      <c r="F73" s="45"/>
      <c r="G73" s="46"/>
      <c r="H73" s="47"/>
      <c r="I73" s="47"/>
      <c r="J73" s="49"/>
      <c r="K73" s="49"/>
      <c r="L73" s="49"/>
      <c r="M73" s="49"/>
      <c r="N73" s="49"/>
      <c r="O73" s="49"/>
      <c r="P73" s="49"/>
      <c r="Q73" s="49"/>
      <c r="R73" s="49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44" t="n">
        <v>46170</v>
      </c>
      <c r="B74" s="44" t="n">
        <v>46177</v>
      </c>
      <c r="C74" s="45"/>
      <c r="D74" s="44" t="n">
        <v>46184</v>
      </c>
      <c r="E74" s="44" t="n">
        <v>46191</v>
      </c>
      <c r="F74" s="45"/>
      <c r="G74" s="46"/>
      <c r="H74" s="47"/>
      <c r="I74" s="47"/>
      <c r="J74" s="49"/>
      <c r="K74" s="49"/>
      <c r="L74" s="49"/>
      <c r="M74" s="49"/>
      <c r="N74" s="49"/>
      <c r="O74" s="49"/>
      <c r="P74" s="49"/>
      <c r="Q74" s="49"/>
      <c r="R74" s="49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44" t="n">
        <v>46171</v>
      </c>
      <c r="B75" s="44" t="n">
        <v>46178</v>
      </c>
      <c r="C75" s="45"/>
      <c r="D75" s="44" t="n">
        <v>46185</v>
      </c>
      <c r="E75" s="44" t="n">
        <v>46192</v>
      </c>
      <c r="F75" s="45"/>
      <c r="G75" s="46"/>
      <c r="H75" s="47"/>
      <c r="I75" s="47"/>
      <c r="J75" s="49"/>
      <c r="K75" s="49"/>
      <c r="L75" s="49"/>
      <c r="M75" s="49"/>
      <c r="N75" s="49"/>
      <c r="O75" s="49"/>
      <c r="P75" s="49"/>
      <c r="Q75" s="49"/>
      <c r="R75" s="49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44" t="n">
        <v>46172</v>
      </c>
      <c r="B76" s="44" t="n">
        <v>46179</v>
      </c>
      <c r="C76" s="45"/>
      <c r="D76" s="44" t="n">
        <v>46186</v>
      </c>
      <c r="E76" s="44" t="n">
        <v>46193</v>
      </c>
      <c r="F76" s="45"/>
      <c r="G76" s="46"/>
      <c r="H76" s="47"/>
      <c r="I76" s="50"/>
      <c r="J76" s="49"/>
      <c r="K76" s="49"/>
      <c r="L76" s="49"/>
      <c r="M76" s="49"/>
      <c r="N76" s="49"/>
      <c r="O76" s="49"/>
      <c r="P76" s="49"/>
      <c r="Q76" s="49"/>
      <c r="R76" s="49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51"/>
      <c r="B77" s="52"/>
      <c r="C77" s="53" t="n">
        <f aca="false">SUM(C71:C76)</f>
        <v>0</v>
      </c>
      <c r="D77" s="55"/>
      <c r="E77" s="55"/>
      <c r="F77" s="60" t="n">
        <f aca="false">SUM(F71:F76)</f>
        <v>0</v>
      </c>
      <c r="G77" s="51"/>
      <c r="H77" s="55"/>
      <c r="I77" s="51"/>
      <c r="J77" s="49"/>
      <c r="K77" s="49"/>
      <c r="L77" s="49"/>
      <c r="M77" s="49"/>
      <c r="N77" s="49"/>
      <c r="O77" s="49"/>
      <c r="P77" s="49"/>
      <c r="Q77" s="49"/>
      <c r="R77" s="49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56"/>
      <c r="B78" s="56"/>
      <c r="C78" s="56"/>
      <c r="D78" s="56"/>
      <c r="E78" s="56"/>
      <c r="F78" s="56"/>
      <c r="G78" s="56"/>
      <c r="H78" s="56"/>
      <c r="I78" s="56"/>
      <c r="J78" s="49"/>
      <c r="K78" s="49"/>
      <c r="L78" s="49"/>
      <c r="M78" s="49"/>
      <c r="N78" s="49"/>
      <c r="O78" s="49"/>
      <c r="P78" s="49"/>
      <c r="Q78" s="49"/>
      <c r="R78" s="49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57"/>
      <c r="B79" s="57"/>
      <c r="C79" s="57"/>
      <c r="D79" s="57"/>
      <c r="E79" s="57"/>
      <c r="F79" s="57"/>
      <c r="G79" s="57"/>
      <c r="H79" s="57"/>
      <c r="I79" s="5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1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D12"/>
    <mergeCell ref="D16:D21"/>
    <mergeCell ref="H16:H21"/>
    <mergeCell ref="I16:I20"/>
    <mergeCell ref="D22:F22"/>
    <mergeCell ref="A23:I23"/>
    <mergeCell ref="C27:C32"/>
    <mergeCell ref="F27:F32"/>
    <mergeCell ref="H27:H32"/>
    <mergeCell ref="I27:I31"/>
    <mergeCell ref="A34:I34"/>
    <mergeCell ref="C38:C43"/>
    <mergeCell ref="F38:F43"/>
    <mergeCell ref="H38:H43"/>
    <mergeCell ref="I38:I42"/>
    <mergeCell ref="A45:I45"/>
    <mergeCell ref="C49:C54"/>
    <mergeCell ref="F49:F54"/>
    <mergeCell ref="H49:H54"/>
    <mergeCell ref="I49:I53"/>
    <mergeCell ref="A56:I56"/>
    <mergeCell ref="C60:C65"/>
    <mergeCell ref="F60:F65"/>
    <mergeCell ref="H60:H65"/>
    <mergeCell ref="I60:I64"/>
    <mergeCell ref="A67:I67"/>
    <mergeCell ref="C71:C76"/>
    <mergeCell ref="F71:F76"/>
    <mergeCell ref="H71:H76"/>
    <mergeCell ref="I71:I75"/>
    <mergeCell ref="A78:I7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2026-06-05T19:11:34Z</dcterms:modified>
  <cp:revision>3</cp:revision>
  <dc:subject/>
  <dc:title/>
</cp:coreProperties>
</file>