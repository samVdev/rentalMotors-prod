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<sst xmlns="http://schemas.openxmlformats.org/spreadsheetml/2006/main" count="55" uniqueCount="41">
  <si>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</si>
  <si>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</si>
  <si>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</si>
  <si>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</si>
  <si>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</si>
  <si>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</si>
  <si>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</si>
  <si>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</si>
  <si>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</si>
  <si>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BRS 150</t>
  </si>
  <si>
    <t xml:space="preserve">BERA</t>
  </si>
  <si>
    <t xml:space="preserve">DRS40I</t>
  </si>
  <si>
    <t xml:space="preserve">MOVIL 03-A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</si>
  <si>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</si>
  <si>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</si>
  <si>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</si>
  <si>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</si>
  <si>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</si>
  <si>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</si>
  <si>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</si>
  <si>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</si>
  <si>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</si>
  <si>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</si>
  <si>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</si>
  <si>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</si>
  <si>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</si>
  <si>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</si>
  <si>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</si>
  <si>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</si>
  <si>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EDISON MANUEL</t>
  </si>
  <si>
    <t xml:space="preserve">VALDIVIEZO GAMARDO</t>
  </si>
  <si>
    <t xml:space="preserve">PPT: 7165156</t>
  </si>
  <si>
    <t xml:space="preserve">VENEZOLANO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</si>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</sst>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General"/>
    <numFmt numFmtId="171" formatCode="dd/mm/yyyy"/>
    <numFmt numFmtId="172" formatCode="#,##0.00"/>
    <numFmt numFmtId="173" formatCode="\$#,##0.00"/>
  </numFmts>
  <fonts count="2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CC00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4A853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15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9" fontId="25" fillId="0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3" fontId="16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600"/>
      <rgbColor rgb="FF666666"/>
      <rgbColor rgb="FF999999"/>
      <rgbColor rgb="FF134F5C"/>
      <rgbColor rgb="FF34A853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92160</xdr:colOff>
      <xdr:row>0</xdr:row>
      <xdr:rowOff>0</xdr:rowOff>
    </xdr:from>
    <xdr:to>
      <xdr:col>9</xdr:col>
      <xdr:colOff>262440</xdr:colOff>
      <xdr:row>13</xdr:row>
      <xdr:rowOff>123480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750040" y="0"/>
          <a:ext cx="1809360" cy="2723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25"/>
    <col collapsed="false" customWidth="true" hidden="false" outlineLevel="0" max="2" min="2" style="0" width="21.75"/>
    <col collapsed="false" customWidth="true" hidden="false" outlineLevel="0" max="3" min="3" style="0" width="19.75"/>
    <col collapsed="false" customWidth="true" hidden="false" outlineLevel="0" max="4" min="4" style="0" width="20.63"/>
    <col collapsed="false" customWidth="true" hidden="false" outlineLevel="0" max="5" min="5" style="0" width="20.13"/>
    <col collapsed="false" customWidth="true" hidden="false" outlineLevel="0" max="6" min="6" style="0" width="19.88"/>
    <col collapsed="false" customWidth="true" hidden="false" outlineLevel="0" max="7" min="7" style="0" width="20.13"/>
    <col collapsed="false" customWidth="true" hidden="false" outlineLevel="0" max="8" min="8" style="0" width="22.88"/>
    <col collapsed="false" customWidth="true" hidden="false" outlineLevel="0" max="9" min="9" style="0" width="2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4" t="s">
        <v>10</v>
      </c>
      <c r="E2" s="4" t="s">
        <v>11</v>
      </c>
      <c r="F2" s="7" t="s">
        <v>12</v>
      </c>
      <c r="G2" s="8" t="n">
        <v>6000000</v>
      </c>
      <c r="H2" s="8" t="n">
        <v>1000000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5000000</v>
      </c>
      <c r="B5" s="12" t="n">
        <v>2.2432</v>
      </c>
      <c r="C5" s="13" t="n">
        <f aca="false">A5*B5</f>
        <v>11216000</v>
      </c>
      <c r="D5" s="14" t="n">
        <v>12</v>
      </c>
      <c r="E5" s="15" t="n">
        <f aca="false">C5/D5</f>
        <v>934666.6667</v>
      </c>
      <c r="F5" s="16" t="n">
        <f aca="false">E5/2</f>
        <v>467333.3333</v>
      </c>
      <c r="G5" s="15" t="n">
        <f aca="false">E5/4</f>
        <v>233666.6667</v>
      </c>
      <c r="H5" s="15" t="n">
        <f aca="false">G5/6</f>
        <v>38944.44444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0" t="s">
        <v>29</v>
      </c>
      <c r="B7" s="21" t="s">
        <v>30</v>
      </c>
      <c r="C7" s="22" t="s">
        <v>31</v>
      </c>
      <c r="D7" s="23" t="s">
        <v>32</v>
      </c>
      <c r="E7" s="24" t="n">
        <v>3002270737</v>
      </c>
      <c r="F7" s="25" t="s">
        <v>33</v>
      </c>
      <c r="G7" s="25" t="s">
        <v>33</v>
      </c>
      <c r="H7" s="26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7"/>
      <c r="B8" s="27"/>
      <c r="C8" s="27"/>
      <c r="D8" s="27"/>
      <c r="E8" s="28"/>
      <c r="F8" s="29"/>
      <c r="G8" s="30"/>
      <c r="H8" s="31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2" t="s">
        <v>34</v>
      </c>
      <c r="B9" s="32"/>
      <c r="C9" s="33" t="s">
        <v>35</v>
      </c>
      <c r="D9" s="33"/>
      <c r="E9" s="33" t="s">
        <v>36</v>
      </c>
      <c r="F9" s="33"/>
      <c r="G9" s="34" t="s">
        <v>37</v>
      </c>
      <c r="H9" s="31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5" t="n">
        <f aca="false">H16+H25</f>
        <v>0</v>
      </c>
      <c r="B10" s="35"/>
      <c r="C10" s="36" t="n">
        <f aca="false">C5-A10</f>
        <v>11216000</v>
      </c>
      <c r="D10" s="36"/>
      <c r="E10" s="37" t="n">
        <f aca="false">C10+G10</f>
        <v>11216000</v>
      </c>
      <c r="F10" s="37"/>
      <c r="G10" s="38"/>
      <c r="H10" s="39" t="n">
        <f aca="false">I21+I30+I39</f>
        <v>0</v>
      </c>
      <c r="I10" s="2"/>
      <c r="J10" s="3"/>
      <c r="K10" s="4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5"/>
      <c r="B11" s="35"/>
      <c r="C11" s="36"/>
      <c r="D11" s="36"/>
      <c r="E11" s="37"/>
      <c r="F11" s="37"/>
      <c r="G11" s="38"/>
      <c r="H11" s="39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41" t="s">
        <v>38</v>
      </c>
      <c r="B12" s="41"/>
      <c r="C12" s="41"/>
      <c r="D12" s="41"/>
      <c r="E12" s="42"/>
      <c r="F12" s="43"/>
      <c r="G12" s="43"/>
      <c r="H12" s="44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5"/>
      <c r="B13" s="45"/>
      <c r="C13" s="45"/>
      <c r="D13" s="45"/>
      <c r="E13" s="45"/>
      <c r="F13" s="45"/>
      <c r="G13" s="45"/>
      <c r="H13" s="45"/>
      <c r="I13" s="4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5"/>
      <c r="B14" s="45"/>
      <c r="C14" s="45"/>
      <c r="D14" s="45"/>
      <c r="E14" s="45"/>
      <c r="F14" s="45"/>
      <c r="G14" s="45"/>
      <c r="H14" s="45"/>
      <c r="I14" s="4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6" t="s">
        <v>39</v>
      </c>
      <c r="B15" s="46" t="s">
        <v>39</v>
      </c>
      <c r="C15" s="46" t="s">
        <v>40</v>
      </c>
      <c r="D15" s="46" t="s">
        <v>39</v>
      </c>
      <c r="E15" s="46" t="s">
        <v>39</v>
      </c>
      <c r="F15" s="46" t="s">
        <v>40</v>
      </c>
      <c r="G15" s="47"/>
      <c r="H15" s="46" t="s">
        <v>40</v>
      </c>
      <c r="I15" s="4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8"/>
      <c r="B16" s="49" t="n">
        <v>46174</v>
      </c>
      <c r="C16" s="49" t="n">
        <v>46181</v>
      </c>
      <c r="D16" s="50"/>
      <c r="E16" s="49" t="n">
        <v>46188</v>
      </c>
      <c r="F16" s="49" t="n">
        <v>46195</v>
      </c>
      <c r="G16" s="51"/>
      <c r="H16" s="52" t="n">
        <f aca="false">D22+G22</f>
        <v>0</v>
      </c>
      <c r="I16" s="53" t="n">
        <v>1</v>
      </c>
      <c r="J16" s="54"/>
      <c r="K16" s="54"/>
      <c r="L16" s="54"/>
      <c r="M16" s="54"/>
      <c r="N16" s="54"/>
      <c r="O16" s="54"/>
      <c r="P16" s="54"/>
      <c r="Q16" s="54"/>
      <c r="R16" s="54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8"/>
      <c r="B17" s="49" t="n">
        <v>46175</v>
      </c>
      <c r="C17" s="49" t="n">
        <v>46182</v>
      </c>
      <c r="D17" s="50"/>
      <c r="E17" s="49" t="n">
        <v>46189</v>
      </c>
      <c r="F17" s="49" t="n">
        <v>46196</v>
      </c>
      <c r="G17" s="51"/>
      <c r="H17" s="51"/>
      <c r="I17" s="51"/>
      <c r="J17" s="54"/>
      <c r="K17" s="54"/>
      <c r="L17" s="54"/>
      <c r="M17" s="54"/>
      <c r="N17" s="54"/>
      <c r="O17" s="54"/>
      <c r="P17" s="54"/>
      <c r="Q17" s="54"/>
      <c r="R17" s="54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8"/>
      <c r="B18" s="49" t="n">
        <v>46176</v>
      </c>
      <c r="C18" s="49" t="n">
        <v>46183</v>
      </c>
      <c r="D18" s="50"/>
      <c r="E18" s="49" t="n">
        <v>46190</v>
      </c>
      <c r="F18" s="49" t="n">
        <v>46197</v>
      </c>
      <c r="G18" s="51"/>
      <c r="H18" s="51"/>
      <c r="I18" s="51"/>
      <c r="J18" s="54"/>
      <c r="K18" s="54"/>
      <c r="L18" s="54"/>
      <c r="M18" s="54"/>
      <c r="N18" s="54"/>
      <c r="O18" s="54"/>
      <c r="P18" s="54"/>
      <c r="Q18" s="54"/>
      <c r="R18" s="54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9"/>
      <c r="B19" s="49" t="n">
        <v>46177</v>
      </c>
      <c r="C19" s="49" t="n">
        <v>46184</v>
      </c>
      <c r="D19" s="50"/>
      <c r="E19" s="49" t="n">
        <v>46191</v>
      </c>
      <c r="F19" s="49" t="n">
        <v>46198</v>
      </c>
      <c r="G19" s="51"/>
      <c r="H19" s="51"/>
      <c r="I19" s="51"/>
      <c r="J19" s="54"/>
      <c r="K19" s="54"/>
      <c r="L19" s="54"/>
      <c r="M19" s="54"/>
      <c r="N19" s="54"/>
      <c r="O19" s="54"/>
      <c r="P19" s="54"/>
      <c r="Q19" s="54"/>
      <c r="R19" s="54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9"/>
      <c r="B20" s="49" t="n">
        <v>46178</v>
      </c>
      <c r="C20" s="49" t="n">
        <v>46185</v>
      </c>
      <c r="D20" s="50"/>
      <c r="E20" s="49" t="n">
        <v>46192</v>
      </c>
      <c r="F20" s="49" t="n">
        <v>46199</v>
      </c>
      <c r="G20" s="51"/>
      <c r="H20" s="51"/>
      <c r="I20" s="51"/>
      <c r="J20" s="54"/>
      <c r="K20" s="54"/>
      <c r="L20" s="54"/>
      <c r="M20" s="54"/>
      <c r="N20" s="54"/>
      <c r="O20" s="54"/>
      <c r="P20" s="54"/>
      <c r="Q20" s="54"/>
      <c r="R20" s="54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9" t="n">
        <v>46172</v>
      </c>
      <c r="B21" s="49" t="n">
        <v>46179</v>
      </c>
      <c r="C21" s="49" t="n">
        <v>46186</v>
      </c>
      <c r="D21" s="50"/>
      <c r="E21" s="49" t="n">
        <v>46193</v>
      </c>
      <c r="F21" s="49" t="n">
        <v>46200</v>
      </c>
      <c r="G21" s="51"/>
      <c r="H21" s="51"/>
      <c r="I21" s="55"/>
      <c r="J21" s="54"/>
      <c r="K21" s="54"/>
      <c r="L21" s="54"/>
      <c r="M21" s="54"/>
      <c r="N21" s="54"/>
      <c r="O21" s="54"/>
      <c r="P21" s="54"/>
      <c r="Q21" s="54"/>
      <c r="R21" s="54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6"/>
      <c r="B22" s="57"/>
      <c r="C22" s="58"/>
      <c r="D22" s="59" t="n">
        <f aca="false">SUM(D16:D21)</f>
        <v>0</v>
      </c>
      <c r="E22" s="60"/>
      <c r="F22" s="61"/>
      <c r="G22" s="61" t="n">
        <f aca="false">SUM(G16:G21)</f>
        <v>0</v>
      </c>
      <c r="H22" s="60"/>
      <c r="I22" s="56"/>
      <c r="J22" s="54"/>
      <c r="K22" s="54"/>
      <c r="L22" s="54"/>
      <c r="M22" s="54"/>
      <c r="N22" s="54"/>
      <c r="O22" s="54"/>
      <c r="P22" s="54"/>
      <c r="Q22" s="54"/>
      <c r="R22" s="54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5"/>
      <c r="B23" s="45"/>
      <c r="C23" s="45"/>
      <c r="D23" s="45"/>
      <c r="E23" s="45"/>
      <c r="F23" s="45"/>
      <c r="G23" s="45"/>
      <c r="H23" s="45"/>
      <c r="I23" s="45"/>
      <c r="J23" s="54"/>
      <c r="K23" s="54"/>
      <c r="L23" s="54"/>
      <c r="M23" s="54"/>
      <c r="N23" s="54"/>
      <c r="O23" s="54"/>
      <c r="P23" s="54"/>
      <c r="Q23" s="54"/>
      <c r="R23" s="54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6" t="s">
        <v>39</v>
      </c>
      <c r="B24" s="46" t="s">
        <v>39</v>
      </c>
      <c r="C24" s="46" t="s">
        <v>40</v>
      </c>
      <c r="D24" s="46" t="s">
        <v>39</v>
      </c>
      <c r="E24" s="46" t="s">
        <v>39</v>
      </c>
      <c r="F24" s="46" t="s">
        <v>40</v>
      </c>
      <c r="G24" s="47"/>
      <c r="H24" s="46" t="s">
        <v>40</v>
      </c>
      <c r="I24" s="4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9" t="n">
        <v>46202</v>
      </c>
      <c r="B25" s="49" t="n">
        <v>46209</v>
      </c>
      <c r="C25" s="62"/>
      <c r="D25" s="49" t="n">
        <v>46216</v>
      </c>
      <c r="E25" s="49" t="n">
        <v>46223</v>
      </c>
      <c r="F25" s="63"/>
      <c r="G25" s="63"/>
      <c r="H25" s="52" t="n">
        <f aca="false">C31+F31</f>
        <v>0</v>
      </c>
      <c r="I25" s="53" t="n">
        <v>2</v>
      </c>
      <c r="J25" s="54"/>
      <c r="K25" s="54"/>
      <c r="L25" s="54"/>
      <c r="M25" s="54"/>
      <c r="N25" s="54"/>
      <c r="O25" s="54"/>
      <c r="P25" s="54"/>
      <c r="Q25" s="54"/>
      <c r="R25" s="54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9" t="n">
        <v>46203</v>
      </c>
      <c r="B26" s="49" t="n">
        <v>46210</v>
      </c>
      <c r="C26" s="62"/>
      <c r="D26" s="49" t="n">
        <v>46217</v>
      </c>
      <c r="E26" s="49" t="n">
        <v>46224</v>
      </c>
      <c r="F26" s="63"/>
      <c r="G26" s="63"/>
      <c r="H26" s="52"/>
      <c r="I26" s="52"/>
      <c r="J26" s="54"/>
      <c r="K26" s="54"/>
      <c r="L26" s="54"/>
      <c r="M26" s="54"/>
      <c r="N26" s="54"/>
      <c r="O26" s="54"/>
      <c r="P26" s="54"/>
      <c r="Q26" s="54"/>
      <c r="R26" s="54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9" t="n">
        <v>46204</v>
      </c>
      <c r="B27" s="49" t="n">
        <v>46211</v>
      </c>
      <c r="C27" s="62"/>
      <c r="D27" s="49" t="n">
        <v>46218</v>
      </c>
      <c r="E27" s="49" t="n">
        <v>46225</v>
      </c>
      <c r="F27" s="63"/>
      <c r="G27" s="63"/>
      <c r="H27" s="52"/>
      <c r="I27" s="52"/>
      <c r="J27" s="54"/>
      <c r="K27" s="54"/>
      <c r="L27" s="54"/>
      <c r="M27" s="54"/>
      <c r="N27" s="54"/>
      <c r="O27" s="54"/>
      <c r="P27" s="54"/>
      <c r="Q27" s="54"/>
      <c r="R27" s="54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9" t="n">
        <v>46205</v>
      </c>
      <c r="B28" s="49" t="n">
        <v>46212</v>
      </c>
      <c r="C28" s="62"/>
      <c r="D28" s="49" t="n">
        <v>46219</v>
      </c>
      <c r="E28" s="49" t="n">
        <v>46226</v>
      </c>
      <c r="F28" s="63"/>
      <c r="G28" s="63"/>
      <c r="H28" s="52"/>
      <c r="I28" s="52"/>
      <c r="J28" s="54"/>
      <c r="K28" s="54"/>
      <c r="L28" s="54"/>
      <c r="M28" s="54"/>
      <c r="N28" s="54"/>
      <c r="O28" s="54"/>
      <c r="P28" s="54"/>
      <c r="Q28" s="54"/>
      <c r="R28" s="54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9" t="n">
        <v>46206</v>
      </c>
      <c r="B29" s="49" t="n">
        <v>46213</v>
      </c>
      <c r="C29" s="62"/>
      <c r="D29" s="49" t="n">
        <v>46220</v>
      </c>
      <c r="E29" s="49" t="n">
        <v>46227</v>
      </c>
      <c r="F29" s="63"/>
      <c r="G29" s="63"/>
      <c r="H29" s="52"/>
      <c r="I29" s="52"/>
      <c r="J29" s="54"/>
      <c r="K29" s="54"/>
      <c r="L29" s="54"/>
      <c r="M29" s="54"/>
      <c r="N29" s="54"/>
      <c r="O29" s="54"/>
      <c r="P29" s="54"/>
      <c r="Q29" s="54"/>
      <c r="R29" s="54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9" t="n">
        <v>46207</v>
      </c>
      <c r="B30" s="49" t="n">
        <v>46214</v>
      </c>
      <c r="C30" s="62"/>
      <c r="D30" s="49" t="n">
        <v>46221</v>
      </c>
      <c r="E30" s="49" t="n">
        <v>46228</v>
      </c>
      <c r="F30" s="63"/>
      <c r="G30" s="63"/>
      <c r="H30" s="52"/>
      <c r="I30" s="55"/>
      <c r="J30" s="54"/>
      <c r="K30" s="54"/>
      <c r="L30" s="54"/>
      <c r="M30" s="54"/>
      <c r="N30" s="54"/>
      <c r="O30" s="54"/>
      <c r="P30" s="54"/>
      <c r="Q30" s="54"/>
      <c r="R30" s="54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6"/>
      <c r="B31" s="57"/>
      <c r="C31" s="58" t="n">
        <f aca="false">SUM(C25:C30)</f>
        <v>0</v>
      </c>
      <c r="D31" s="60"/>
      <c r="E31" s="60"/>
      <c r="F31" s="64" t="n">
        <f aca="false">SUM(F25:F30)</f>
        <v>0</v>
      </c>
      <c r="G31" s="64"/>
      <c r="H31" s="60"/>
      <c r="I31" s="56"/>
      <c r="J31" s="54"/>
      <c r="K31" s="54"/>
      <c r="L31" s="54"/>
      <c r="M31" s="54"/>
      <c r="N31" s="54"/>
      <c r="O31" s="54"/>
      <c r="P31" s="54"/>
      <c r="Q31" s="54"/>
      <c r="R31" s="54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5"/>
      <c r="B32" s="45"/>
      <c r="C32" s="45"/>
      <c r="D32" s="45"/>
      <c r="E32" s="45"/>
      <c r="F32" s="45"/>
      <c r="G32" s="45"/>
      <c r="H32" s="45"/>
      <c r="I32" s="45"/>
      <c r="J32" s="54"/>
      <c r="K32" s="54"/>
      <c r="L32" s="54"/>
      <c r="M32" s="54"/>
      <c r="N32" s="54"/>
      <c r="O32" s="54"/>
      <c r="P32" s="54"/>
      <c r="Q32" s="54"/>
      <c r="R32" s="54"/>
      <c r="S32" s="3"/>
      <c r="T32" s="3"/>
      <c r="U32" s="3"/>
      <c r="V32" s="3"/>
      <c r="W32" s="3"/>
      <c r="X32" s="3"/>
      <c r="Y32" s="3"/>
      <c r="Z32" s="3"/>
    </row>
  </sheetData>
  <mergeCells count="23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D16:D21"/>
    <mergeCell ref="G16:G21"/>
    <mergeCell ref="H16:H21"/>
    <mergeCell ref="I16:I20"/>
    <mergeCell ref="A23:I23"/>
    <mergeCell ref="C25:C30"/>
    <mergeCell ref="F25:G30"/>
    <mergeCell ref="H25:H30"/>
    <mergeCell ref="I25:I29"/>
    <mergeCell ref="F31:G31"/>
    <mergeCell ref="A32:I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2026-06-05T19:51:45Z</dcterms:modified>
  <cp:revision>1</cp:revision>
  <dc:subject/>
  <dc:title/>
</cp:coreProperties>
</file>